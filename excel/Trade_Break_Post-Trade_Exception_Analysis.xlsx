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d.docs.live.net/da35844f6e78ccd0/Desktop/Careers/Projects/"/>
    </mc:Choice>
  </mc:AlternateContent>
  <xr:revisionPtr revIDLastSave="262" documentId="8_{7F9F6CF3-A50C-4C85-88C6-B7826D1FFE42}" xr6:coauthVersionLast="47" xr6:coauthVersionMax="47" xr10:uidLastSave="{2ED72D1F-9045-4C99-AA1F-76C9510BE391}"/>
  <bookViews>
    <workbookView xWindow="-120" yWindow="-120" windowWidth="29040" windowHeight="15720" activeTab="2" xr2:uid="{D1BC7530-6B36-4243-8619-C532E9C32221}"/>
  </bookViews>
  <sheets>
    <sheet name="Trade_Data" sheetId="1" r:id="rId1"/>
    <sheet name="Analysis" sheetId="2" r:id="rId2"/>
    <sheet name="Dashboard" sheetId="3" r:id="rId3"/>
  </sheets>
  <definedNames>
    <definedName name="NativeTimeline_Trade_Date">#N/A</definedName>
    <definedName name="Slicer_Asset_Class">#N/A</definedName>
  </definedNames>
  <calcPr calcId="191029"/>
  <pivotCaches>
    <pivotCache cacheId="6"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3" l="1"/>
  <c r="H5" i="3"/>
  <c r="F5" i="3"/>
  <c r="D5" i="3"/>
  <c r="B5" i="3"/>
  <c r="B18" i="2"/>
  <c r="B17" i="2"/>
  <c r="B16" i="2"/>
  <c r="B15" i="2"/>
  <c r="B14" i="2"/>
</calcChain>
</file>

<file path=xl/sharedStrings.xml><?xml version="1.0" encoding="utf-8"?>
<sst xmlns="http://schemas.openxmlformats.org/spreadsheetml/2006/main" count="782" uniqueCount="185">
  <si>
    <t>Trade_ID</t>
  </si>
  <si>
    <t>Asset_Class</t>
  </si>
  <si>
    <t>Trade_Date</t>
  </si>
  <si>
    <t>Settlement_Date</t>
  </si>
  <si>
    <t>Status</t>
  </si>
  <si>
    <t>Break_Reason</t>
  </si>
  <si>
    <t>Counterparty</t>
  </si>
  <si>
    <t>Trade_Amount</t>
  </si>
  <si>
    <t>Resolution_Days</t>
  </si>
  <si>
    <t>T0001</t>
  </si>
  <si>
    <t>FX</t>
  </si>
  <si>
    <t>Settled</t>
  </si>
  <si>
    <t/>
  </si>
  <si>
    <t>Barclays</t>
  </si>
  <si>
    <t>T0002</t>
  </si>
  <si>
    <t>Equity</t>
  </si>
  <si>
    <t>Goldman Sachs</t>
  </si>
  <si>
    <t>T0003</t>
  </si>
  <si>
    <t>Morgan Stanley</t>
  </si>
  <si>
    <t>T0004</t>
  </si>
  <si>
    <t>T0005</t>
  </si>
  <si>
    <t>Pending</t>
  </si>
  <si>
    <t>Price Mismatch</t>
  </si>
  <si>
    <t>T0006</t>
  </si>
  <si>
    <t>T0007</t>
  </si>
  <si>
    <t>T0008</t>
  </si>
  <si>
    <t>Failed</t>
  </si>
  <si>
    <t>T0009</t>
  </si>
  <si>
    <t>T0010</t>
  </si>
  <si>
    <t>Fixed Income</t>
  </si>
  <si>
    <t>JPMorgan</t>
  </si>
  <si>
    <t>T0011</t>
  </si>
  <si>
    <t>Citi</t>
  </si>
  <si>
    <t>T0012</t>
  </si>
  <si>
    <t>T0013</t>
  </si>
  <si>
    <t>T0014</t>
  </si>
  <si>
    <t>T0015</t>
  </si>
  <si>
    <t>Missing Docs</t>
  </si>
  <si>
    <t>T0016</t>
  </si>
  <si>
    <t>T0017</t>
  </si>
  <si>
    <t>Late Confirmation</t>
  </si>
  <si>
    <t>T0018</t>
  </si>
  <si>
    <t>T0019</t>
  </si>
  <si>
    <t>T0020</t>
  </si>
  <si>
    <t>T0021</t>
  </si>
  <si>
    <t>T0022</t>
  </si>
  <si>
    <t>T0023</t>
  </si>
  <si>
    <t>T0024</t>
  </si>
  <si>
    <t>T0025</t>
  </si>
  <si>
    <t>T0026</t>
  </si>
  <si>
    <t>T0027</t>
  </si>
  <si>
    <t>T0028</t>
  </si>
  <si>
    <t>T0029</t>
  </si>
  <si>
    <t>T0030</t>
  </si>
  <si>
    <t>T0031</t>
  </si>
  <si>
    <t>T0032</t>
  </si>
  <si>
    <t>T0033</t>
  </si>
  <si>
    <t>T0034</t>
  </si>
  <si>
    <t>T0035</t>
  </si>
  <si>
    <t>T0036</t>
  </si>
  <si>
    <t>T0037</t>
  </si>
  <si>
    <t>T0038</t>
  </si>
  <si>
    <t>T0039</t>
  </si>
  <si>
    <t>T0040</t>
  </si>
  <si>
    <t>T0041</t>
  </si>
  <si>
    <t>T0042</t>
  </si>
  <si>
    <t>T0043</t>
  </si>
  <si>
    <t>T0044</t>
  </si>
  <si>
    <t>T0045</t>
  </si>
  <si>
    <t>T0046</t>
  </si>
  <si>
    <t>T0047</t>
  </si>
  <si>
    <t>T0048</t>
  </si>
  <si>
    <t>T0049</t>
  </si>
  <si>
    <t>T0050</t>
  </si>
  <si>
    <t>T0051</t>
  </si>
  <si>
    <t>T0052</t>
  </si>
  <si>
    <t>T0053</t>
  </si>
  <si>
    <t>T0054</t>
  </si>
  <si>
    <t>T0055</t>
  </si>
  <si>
    <t>T0056</t>
  </si>
  <si>
    <t>T0057</t>
  </si>
  <si>
    <t>T0058</t>
  </si>
  <si>
    <t>T0059</t>
  </si>
  <si>
    <t>T0060</t>
  </si>
  <si>
    <t>T0061</t>
  </si>
  <si>
    <t>T0062</t>
  </si>
  <si>
    <t>T0063</t>
  </si>
  <si>
    <t>T0064</t>
  </si>
  <si>
    <t>T0065</t>
  </si>
  <si>
    <t>T0066</t>
  </si>
  <si>
    <t>T0067</t>
  </si>
  <si>
    <t>T0068</t>
  </si>
  <si>
    <t>T0069</t>
  </si>
  <si>
    <t>T0070</t>
  </si>
  <si>
    <t>T0071</t>
  </si>
  <si>
    <t>T0072</t>
  </si>
  <si>
    <t>T0073</t>
  </si>
  <si>
    <t>T0074</t>
  </si>
  <si>
    <t>T0075</t>
  </si>
  <si>
    <t>T0076</t>
  </si>
  <si>
    <t>T0077</t>
  </si>
  <si>
    <t>T0078</t>
  </si>
  <si>
    <t>T0079</t>
  </si>
  <si>
    <t>T0080</t>
  </si>
  <si>
    <t>T0081</t>
  </si>
  <si>
    <t>T0082</t>
  </si>
  <si>
    <t>T0083</t>
  </si>
  <si>
    <t>T0084</t>
  </si>
  <si>
    <t>T0085</t>
  </si>
  <si>
    <t>T0086</t>
  </si>
  <si>
    <t>T0087</t>
  </si>
  <si>
    <t>T0088</t>
  </si>
  <si>
    <t>T0089</t>
  </si>
  <si>
    <t>T0090</t>
  </si>
  <si>
    <t>T0091</t>
  </si>
  <si>
    <t>T0092</t>
  </si>
  <si>
    <t>T0093</t>
  </si>
  <si>
    <t>T0094</t>
  </si>
  <si>
    <t>T0095</t>
  </si>
  <si>
    <t>T0096</t>
  </si>
  <si>
    <t>T0097</t>
  </si>
  <si>
    <t>T0098</t>
  </si>
  <si>
    <t>T0099</t>
  </si>
  <si>
    <t>T0100</t>
  </si>
  <si>
    <t>T0101</t>
  </si>
  <si>
    <t>T0102</t>
  </si>
  <si>
    <t>T0103</t>
  </si>
  <si>
    <t>T0104</t>
  </si>
  <si>
    <t>T0105</t>
  </si>
  <si>
    <t>T0106</t>
  </si>
  <si>
    <t>T0107</t>
  </si>
  <si>
    <t>T0108</t>
  </si>
  <si>
    <t>T0109</t>
  </si>
  <si>
    <t>T0110</t>
  </si>
  <si>
    <t>T0111</t>
  </si>
  <si>
    <t>T0112</t>
  </si>
  <si>
    <t>T0113</t>
  </si>
  <si>
    <t>T0114</t>
  </si>
  <si>
    <t>T0115</t>
  </si>
  <si>
    <t>T0116</t>
  </si>
  <si>
    <t>T0117</t>
  </si>
  <si>
    <t>T0118</t>
  </si>
  <si>
    <t>T0119</t>
  </si>
  <si>
    <t>T0120</t>
  </si>
  <si>
    <t>T0121</t>
  </si>
  <si>
    <t>T0122</t>
  </si>
  <si>
    <t>T0123</t>
  </si>
  <si>
    <t>T0124</t>
  </si>
  <si>
    <t>T0125</t>
  </si>
  <si>
    <t>T0126</t>
  </si>
  <si>
    <t>T0127</t>
  </si>
  <si>
    <t>T0128</t>
  </si>
  <si>
    <t>T0129</t>
  </si>
  <si>
    <t>T0130</t>
  </si>
  <si>
    <t>T0131</t>
  </si>
  <si>
    <t>T0132</t>
  </si>
  <si>
    <t>T0133</t>
  </si>
  <si>
    <t>T0134</t>
  </si>
  <si>
    <t>T0135</t>
  </si>
  <si>
    <t>T0136</t>
  </si>
  <si>
    <t>T0137</t>
  </si>
  <si>
    <t>T0138</t>
  </si>
  <si>
    <t>T0139</t>
  </si>
  <si>
    <t>T0140</t>
  </si>
  <si>
    <t>T0141</t>
  </si>
  <si>
    <t>T0142</t>
  </si>
  <si>
    <t>T0143</t>
  </si>
  <si>
    <t>T0144</t>
  </si>
  <si>
    <t>T0145</t>
  </si>
  <si>
    <t>T0146</t>
  </si>
  <si>
    <t>T0147</t>
  </si>
  <si>
    <t>T0148</t>
  </si>
  <si>
    <t>T0149</t>
  </si>
  <si>
    <t>T0150</t>
  </si>
  <si>
    <t>Row Labels</t>
  </si>
  <si>
    <t>Grand Total</t>
  </si>
  <si>
    <t>Trade Count</t>
  </si>
  <si>
    <t>Break Count</t>
  </si>
  <si>
    <t>Total Trades</t>
  </si>
  <si>
    <t>Failed Trades %</t>
  </si>
  <si>
    <t>Avg. Resolution Day</t>
  </si>
  <si>
    <t>High-Risk Trades</t>
  </si>
  <si>
    <t>High-Risk %</t>
  </si>
  <si>
    <t>Post-Trade Exception &amp; Risk Monitoring Dashboard</t>
  </si>
  <si>
    <t>Avg. Resolution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</si>
</sst>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Aptos Narrow"/>
      <family val="2"/>
      <scheme val="minor"/>
    </font>
    <font>
      <b/>
      <sz val="11"/>
      <color theme="1"/>
      <name val="Aptos Narrow"/>
      <family val="2"/>
      <scheme val="minor"/>
    </font>
    <font>
      <sz val="10"/>
      <color theme="1"/>
      <name val="Aptos Narrow"/>
      <family val="2"/>
      <scheme val="minor"/>
    </font>
    <font>
      <b/>
      <sz val="18"/>
      <color theme="1"/>
      <name val="Aptos Narrow"/>
      <family val="2"/>
      <scheme val="minor"/>
    </font>
  </fonts>
  <fills count="3">
    <fill>
      <patternFill patternType="none"/>
    </fill>
    <fill>
      <patternFill patternType="gray125"/>
    </fill>
    <fill>
      <patternFill patternType="solid">
        <fgColor theme="2"/>
        <bgColor indexed="64"/>
      </patternFill>
    </fill>
  </fills>
  <borders count="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2">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0" borderId="1" xfId="0" applyFont="1" applyBorder="1" applyAlignment="1">
      <alignment horizontal="left"/>
    </xf>
    <xf numFmtId="0" fontId="1" fillId="0" borderId="3" xfId="0" applyFont="1" applyBorder="1" applyAlignment="1">
      <alignment horizontal="left"/>
    </xf>
    <xf numFmtId="0" fontId="1" fillId="0" borderId="5" xfId="0" applyFont="1" applyBorder="1" applyAlignment="1">
      <alignment horizontal="left"/>
    </xf>
    <xf numFmtId="0" fontId="0" fillId="0" borderId="2" xfId="0" applyBorder="1" applyAlignment="1">
      <alignment horizontal="right"/>
    </xf>
    <xf numFmtId="164" fontId="0" fillId="0" borderId="4" xfId="0" applyNumberFormat="1" applyBorder="1" applyAlignment="1">
      <alignment horizontal="right"/>
    </xf>
    <xf numFmtId="0" fontId="0" fillId="0" borderId="4" xfId="0" applyBorder="1" applyAlignment="1">
      <alignment horizontal="right"/>
    </xf>
    <xf numFmtId="164" fontId="0" fillId="0" borderId="6" xfId="0" applyNumberFormat="1" applyBorder="1" applyAlignment="1">
      <alignment horizontal="right"/>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164" fontId="3" fillId="2" borderId="3" xfId="0" applyNumberFormat="1" applyFont="1" applyFill="1" applyBorder="1" applyAlignment="1">
      <alignment horizontal="center" vertical="center"/>
    </xf>
    <xf numFmtId="164" fontId="3" fillId="2" borderId="4" xfId="0" applyNumberFormat="1" applyFont="1" applyFill="1" applyBorder="1" applyAlignment="1">
      <alignment horizontal="center" vertical="center"/>
    </xf>
    <xf numFmtId="164" fontId="3" fillId="2" borderId="5" xfId="0" applyNumberFormat="1" applyFont="1" applyFill="1" applyBorder="1" applyAlignment="1">
      <alignment horizontal="center" vertical="center"/>
    </xf>
    <xf numFmtId="164" fontId="3" fillId="2" borderId="6" xfId="0" applyNumberFormat="1" applyFont="1" applyFill="1" applyBorder="1" applyAlignment="1">
      <alignment horizontal="center" vertical="center"/>
    </xf>
  </cellXfs>
  <cellStyles count="1">
    <cellStyle name="Normal" xfId="0" builtinId="0"/>
  </cellStyles>
  <dxfs count="9">
    <dxf>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[Trade_Break_Post-Trade_Exception_Analysis.xlsx]Analysis!PivotTable1</c:name>
    <c:fmtId val="8"/>
  </c:pivotSource>
  <c:chart>
    <c:title>
      <c:tx>
        <c:rich>
          <a:bodyPr rot="0" spcFirstLastPara="1" vertOverflow="ellipsis" vert="horz" wrap="square" anchor="ctr" anchorCtr="1"/>
          <a:lstStyle/>
          <a:p>
            <a:pPr algn="ctr">
              <a:defRPr sz="1200" b="1" i="0" u="none" strike="noStrike" kern="1200" spc="0" baseline="0">
                <a:solidFill>
                  <a:schemeClr val="tx1">
                    <a:lumMod val="65000"/>
                    <a:lumOff val="35000"/>
                  </a:schemeClr>
                </a:solidFill>
                <a:latin typeface="+mn-lt"/>
                <a:ea typeface="+mn-ea"/>
                <a:cs typeface="+mn-cs"/>
              </a:defRPr>
            </a:pPr>
            <a:r>
              <a:rPr lang="en-US" sz="1200" b="1"/>
              <a:t>Trade Volume by Asset Class </a:t>
            </a:r>
          </a:p>
        </c:rich>
      </c:tx>
      <c:overlay val="0"/>
      <c:spPr>
        <a:noFill/>
        <a:ln>
          <a:noFill/>
        </a:ln>
        <a:effectLst/>
      </c:spPr>
      <c:txPr>
        <a:bodyPr rot="0" spcFirstLastPara="1" vertOverflow="ellipsis" vert="horz" wrap="square" anchor="ctr" anchorCtr="1"/>
        <a:lstStyle/>
        <a:p>
          <a:pPr algn="ct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c:f>
              <c:strCache>
                <c:ptCount val="1"/>
                <c:pt idx="0">
                  <c:v>Total</c:v>
                </c:pt>
              </c:strCache>
            </c:strRef>
          </c:tx>
          <c:spPr>
            <a:solidFill>
              <a:schemeClr val="accent1"/>
            </a:solidFill>
            <a:ln>
              <a:noFill/>
            </a:ln>
            <a:effectLst/>
          </c:spPr>
          <c:invertIfNegative val="0"/>
          <c:cat>
            <c:strRef>
              <c:f>Analysis!$A$2:$A$5</c:f>
              <c:strCache>
                <c:ptCount val="3"/>
                <c:pt idx="0">
                  <c:v>Equity</c:v>
                </c:pt>
                <c:pt idx="1">
                  <c:v>Fixed Income</c:v>
                </c:pt>
                <c:pt idx="2">
                  <c:v>FX</c:v>
                </c:pt>
              </c:strCache>
            </c:strRef>
          </c:cat>
          <c:val>
            <c:numRef>
              <c:f>Analysis!$B$2:$B$5</c:f>
              <c:numCache>
                <c:formatCode>General</c:formatCode>
                <c:ptCount val="3"/>
                <c:pt idx="0">
                  <c:v>44</c:v>
                </c:pt>
                <c:pt idx="1">
                  <c:v>48</c:v>
                </c:pt>
                <c:pt idx="2">
                  <c:v>58</c:v>
                </c:pt>
              </c:numCache>
            </c:numRef>
          </c:val>
          <c:extLst>
            <c:ext xmlns:c16="http://schemas.microsoft.com/office/drawing/2014/chart" uri="{C3380CC4-5D6E-409C-BE32-E72D297353CC}">
              <c16:uniqueId val="{00000000-43B6-4580-9637-D4E70D856FFB}"/>
            </c:ext>
          </c:extLst>
        </c:ser>
        <c:dLbls>
          <c:showLegendKey val="0"/>
          <c:showVal val="0"/>
          <c:showCatName val="0"/>
          <c:showSerName val="0"/>
          <c:showPercent val="0"/>
          <c:showBubbleSize val="0"/>
        </c:dLbls>
        <c:gapWidth val="219"/>
        <c:overlap val="-27"/>
        <c:axId val="1223427167"/>
        <c:axId val="1223427647"/>
      </c:barChart>
      <c:catAx>
        <c:axId val="122342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427647"/>
        <c:crosses val="autoZero"/>
        <c:auto val="1"/>
        <c:lblAlgn val="ctr"/>
        <c:lblOffset val="100"/>
        <c:noMultiLvlLbl val="0"/>
      </c:catAx>
      <c:valAx>
        <c:axId val="1223427647"/>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sz="1000" b="1"/>
                  <a:t>Number of Trades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427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[Trade_Break_Post-Trade_Exception_Analysis.xlsx]Analysis!PivotTable2</c:name>
    <c:fmtId val="4"/>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Settlement Breaks by Root Cause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Analysis!$B$8</c:f>
              <c:strCache>
                <c:ptCount val="1"/>
                <c:pt idx="0">
                  <c:v>Total</c:v>
                </c:pt>
              </c:strCache>
            </c:strRef>
          </c:tx>
          <c:spPr>
            <a:solidFill>
              <a:schemeClr val="accent1"/>
            </a:solidFill>
            <a:ln>
              <a:noFill/>
            </a:ln>
            <a:effectLst/>
          </c:spPr>
          <c:invertIfNegative val="0"/>
          <c:cat>
            <c:strRef>
              <c:f>Analysis!$A$9:$A$12</c:f>
              <c:strCache>
                <c:ptCount val="3"/>
                <c:pt idx="0">
                  <c:v>Late Confirmation</c:v>
                </c:pt>
                <c:pt idx="1">
                  <c:v>Missing Docs</c:v>
                </c:pt>
                <c:pt idx="2">
                  <c:v>Price Mismatch</c:v>
                </c:pt>
              </c:strCache>
            </c:strRef>
          </c:cat>
          <c:val>
            <c:numRef>
              <c:f>Analysis!$B$9:$B$12</c:f>
              <c:numCache>
                <c:formatCode>General</c:formatCode>
                <c:ptCount val="3"/>
                <c:pt idx="0">
                  <c:v>23</c:v>
                </c:pt>
                <c:pt idx="1">
                  <c:v>34</c:v>
                </c:pt>
                <c:pt idx="2">
                  <c:v>34</c:v>
                </c:pt>
              </c:numCache>
            </c:numRef>
          </c:val>
          <c:extLst>
            <c:ext xmlns:c16="http://schemas.microsoft.com/office/drawing/2014/chart" uri="{C3380CC4-5D6E-409C-BE32-E72D297353CC}">
              <c16:uniqueId val="{00000000-34EB-424F-B250-F808127D4492}"/>
            </c:ext>
          </c:extLst>
        </c:ser>
        <c:dLbls>
          <c:showLegendKey val="0"/>
          <c:showVal val="0"/>
          <c:showCatName val="0"/>
          <c:showSerName val="0"/>
          <c:showPercent val="0"/>
          <c:showBubbleSize val="0"/>
        </c:dLbls>
        <c:gapWidth val="182"/>
        <c:axId val="1247662271"/>
        <c:axId val="1247659391"/>
      </c:barChart>
      <c:catAx>
        <c:axId val="1247662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659391"/>
        <c:crosses val="autoZero"/>
        <c:auto val="1"/>
        <c:lblAlgn val="ctr"/>
        <c:lblOffset val="100"/>
        <c:noMultiLvlLbl val="0"/>
      </c:catAx>
      <c:valAx>
        <c:axId val="12476593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662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9525</xdr:rowOff>
    </xdr:from>
    <xdr:to>
      <xdr:col>5</xdr:col>
      <xdr:colOff>0</xdr:colOff>
      <xdr:row>20</xdr:row>
      <xdr:rowOff>9525</xdr:rowOff>
    </xdr:to>
    <xdr:graphicFrame macro="">
      <xdr:nvGraphicFramePr>
        <xdr:cNvPr id="3" name="Chart1">
          <a:extLst>
            <a:ext uri="{FF2B5EF4-FFF2-40B4-BE49-F238E27FC236}">
              <a16:creationId xmlns:a16="http://schemas.microsoft.com/office/drawing/2014/main" id="{C55BAD4B-E141-4754-9167-3B92277E1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600075</xdr:colOff>
      <xdr:row>6</xdr:row>
      <xdr:rowOff>9525</xdr:rowOff>
    </xdr:from>
    <xdr:to>
      <xdr:col>10</xdr:col>
      <xdr:colOff>600075</xdr:colOff>
      <xdr:row>20</xdr:row>
      <xdr:rowOff>9525</xdr:rowOff>
    </xdr:to>
    <xdr:graphicFrame macro="">
      <xdr:nvGraphicFramePr>
        <xdr:cNvPr id="4" name="Chart 3">
          <a:extLst>
            <a:ext uri="{FF2B5EF4-FFF2-40B4-BE49-F238E27FC236}">
              <a16:creationId xmlns:a16="http://schemas.microsoft.com/office/drawing/2014/main" id="{432D5103-8EB0-4D3D-AFA7-D3AD9EFEC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0</xdr:colOff>
      <xdr:row>3</xdr:row>
      <xdr:rowOff>0</xdr:rowOff>
    </xdr:from>
    <xdr:to>
      <xdr:col>16</xdr:col>
      <xdr:colOff>609599</xdr:colOff>
      <xdr:row>10</xdr:row>
      <xdr:rowOff>0</xdr:rowOff>
    </xdr:to>
    <mc:AlternateContent xmlns:mc="http://schemas.openxmlformats.org/markup-compatibility/2006">
      <mc:Choice xmlns:a14="http://schemas.microsoft.com/office/drawing/2010/main" Requires="a14">
        <xdr:graphicFrame macro="">
          <xdr:nvGraphicFramePr>
            <xdr:cNvPr id="5" name="Asset_Class">
              <a:extLst>
                <a:ext uri="{FF2B5EF4-FFF2-40B4-BE49-F238E27FC236}">
                  <a16:creationId xmlns:a16="http://schemas.microsoft.com/office/drawing/2014/main" id="{7E12A169-80D0-4265-9BE6-7770433A6A49}"/>
                </a:ext>
              </a:extLst>
            </xdr:cNvPr>
            <xdr:cNvGraphicFramePr/>
          </xdr:nvGraphicFramePr>
          <xdr:xfrm>
            <a:off x="0" y="0"/>
            <a:ext cx="0" cy="0"/>
          </xdr:xfrm>
          <a:graphic>
            <a:graphicData uri="http://schemas.microsoft.com/office/drawing/2010/slicer">
              <sle:slicer xmlns:sle="http://schemas.microsoft.com/office/drawing/2010/slicer" name="Asset_Class"/>
            </a:graphicData>
          </a:graphic>
        </xdr:graphicFrame>
      </mc:Choice>
      <mc:Fallback>
        <xdr:sp macro="" textlink="">
          <xdr:nvSpPr>
            <xdr:cNvPr id="0" name=""/>
            <xdr:cNvSpPr>
              <a:spLocks noTextEdit="1"/>
            </xdr:cNvSpPr>
          </xdr:nvSpPr>
          <xdr:spPr>
            <a:xfrm>
              <a:off x="6781800" y="571500"/>
              <a:ext cx="3657599"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10</xdr:row>
      <xdr:rowOff>0</xdr:rowOff>
    </xdr:from>
    <xdr:to>
      <xdr:col>17</xdr:col>
      <xdr:colOff>0</xdr:colOff>
      <xdr:row>20</xdr:row>
      <xdr:rowOff>0</xdr:rowOff>
    </xdr:to>
    <mc:AlternateContent xmlns:mc="http://schemas.openxmlformats.org/markup-compatibility/2006">
      <mc:Choice xmlns:tsle="http://schemas.microsoft.com/office/drawing/2012/timeslicer" Requires="tsle">
        <xdr:graphicFrame macro="">
          <xdr:nvGraphicFramePr>
            <xdr:cNvPr id="6" name="Trade_Date">
              <a:extLst>
                <a:ext uri="{FF2B5EF4-FFF2-40B4-BE49-F238E27FC236}">
                  <a16:creationId xmlns:a16="http://schemas.microsoft.com/office/drawing/2014/main" id="{A27743FD-27A1-475B-B51B-B6DB0BFA8439}"/>
                </a:ext>
              </a:extLst>
            </xdr:cNvPr>
            <xdr:cNvGraphicFramePr/>
          </xdr:nvGraphicFramePr>
          <xdr:xfrm>
            <a:off x="0" y="0"/>
            <a:ext cx="0" cy="0"/>
          </xdr:xfrm>
          <a:graphic>
            <a:graphicData uri="http://schemas.microsoft.com/office/drawing/2012/timeslicer">
              <tsle:timeslicer xmlns:tsle="http://schemas.microsoft.com/office/drawing/2012/timeslicer" name="Trade_Date"/>
            </a:graphicData>
          </a:graphic>
        </xdr:graphicFrame>
      </mc:Choice>
      <mc:Fallback>
        <xdr:sp macro="" textlink="">
          <xdr:nvSpPr>
            <xdr:cNvPr id="0" name=""/>
            <xdr:cNvSpPr>
              <a:spLocks noTextEdit="1"/>
            </xdr:cNvSpPr>
          </xdr:nvSpPr>
          <xdr:spPr>
            <a:xfrm>
              <a:off x="6781800" y="1905000"/>
              <a:ext cx="3657600" cy="1905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oneCellAnchor>
    <xdr:from>
      <xdr:col>1</xdr:col>
      <xdr:colOff>314325</xdr:colOff>
      <xdr:row>23</xdr:row>
      <xdr:rowOff>0</xdr:rowOff>
    </xdr:from>
    <xdr:ext cx="4343400" cy="906338"/>
    <xdr:sp macro="" textlink="">
      <xdr:nvSpPr>
        <xdr:cNvPr id="8" name="TextBox 7">
          <a:extLst>
            <a:ext uri="{FF2B5EF4-FFF2-40B4-BE49-F238E27FC236}">
              <a16:creationId xmlns:a16="http://schemas.microsoft.com/office/drawing/2014/main" id="{7EEEFADE-5604-26A6-30D7-5C87928F389A}"/>
            </a:ext>
          </a:extLst>
        </xdr:cNvPr>
        <xdr:cNvSpPr txBox="1"/>
      </xdr:nvSpPr>
      <xdr:spPr>
        <a:xfrm>
          <a:off x="923925" y="4381500"/>
          <a:ext cx="4343400" cy="90633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Process Notes:</a:t>
          </a:r>
        </a:p>
        <a:p>
          <a:r>
            <a:rPr lang="en-US" sz="1000"/>
            <a:t>• Identifies high-frequency settlement break categories across asset classes</a:t>
          </a:r>
        </a:p>
        <a:p>
          <a:r>
            <a:rPr lang="en-US" sz="1000"/>
            <a:t>• Highlights delayed resolutions exceeding internal risk thresholds</a:t>
          </a:r>
        </a:p>
        <a:p>
          <a:r>
            <a:rPr lang="en-US" sz="1000"/>
            <a:t>• Supports post-trade operational risk monitoring and process improvement</a:t>
          </a:r>
        </a:p>
        <a:p>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49.756594444443" createdVersion="8" refreshedVersion="8" minRefreshableVersion="3" recordCount="150" xr:uid="{83DD905D-9AD3-4CDB-A9B9-D1DD390CFF6F}">
  <cacheSource type="worksheet">
    <worksheetSource name="tblTrades"/>
  </cacheSource>
  <cacheFields count="9">
    <cacheField name="Trade_ID" numFmtId="0">
      <sharedItems/>
    </cacheField>
    <cacheField name="Asset_Class" numFmtId="0">
      <sharedItems count="3">
        <s v="FX"/>
        <s v="Equity"/>
        <s v="Fixed Income"/>
      </sharedItems>
    </cacheField>
    <cacheField name="Trade_Date" numFmtId="14">
      <sharedItems containsSemiMixedTypes="0" containsNonDate="0" containsDate="1" containsString="0" minDate="2025-07-31T00:00:00" maxDate="2025-10-30T00:00:00" count="77">
        <d v="2025-08-15T00:00:00"/>
        <d v="2025-09-11T00:00:00"/>
        <d v="2025-08-13T00:00:00"/>
        <d v="2025-08-21T00:00:00"/>
        <d v="2025-10-08T00:00:00"/>
        <d v="2025-10-18T00:00:00"/>
        <d v="2025-09-15T00:00:00"/>
        <d v="2025-10-11T00:00:00"/>
        <d v="2025-09-06T00:00:00"/>
        <d v="2025-10-06T00:00:00"/>
        <d v="2025-09-27T00:00:00"/>
        <d v="2025-08-18T00:00:00"/>
        <d v="2025-08-06T00:00:00"/>
        <d v="2025-08-03T00:00:00"/>
        <d v="2025-10-05T00:00:00"/>
        <d v="2025-10-01T00:00:00"/>
        <d v="2025-08-30T00:00:00"/>
        <d v="2025-07-31T00:00:00"/>
        <d v="2025-08-27T00:00:00"/>
        <d v="2025-09-03T00:00:00"/>
        <d v="2025-09-23T00:00:00"/>
        <d v="2025-09-19T00:00:00"/>
        <d v="2025-09-02T00:00:00"/>
        <d v="2025-08-11T00:00:00"/>
        <d v="2025-09-08T00:00:00"/>
        <d v="2025-09-07T00:00:00"/>
        <d v="2025-10-15T00:00:00"/>
        <d v="2025-08-22T00:00:00"/>
        <d v="2025-08-29T00:00:00"/>
        <d v="2025-08-17T00:00:00"/>
        <d v="2025-09-01T00:00:00"/>
        <d v="2025-10-24T00:00:00"/>
        <d v="2025-08-05T00:00:00"/>
        <d v="2025-08-07T00:00:00"/>
        <d v="2025-09-28T00:00:00"/>
        <d v="2025-08-04T00:00:00"/>
        <d v="2025-09-21T00:00:00"/>
        <d v="2025-10-17T00:00:00"/>
        <d v="2025-08-23T00:00:00"/>
        <d v="2025-08-10T00:00:00"/>
        <d v="2025-10-07T00:00:00"/>
        <d v="2025-10-20T00:00:00"/>
        <d v="2025-10-10T00:00:00"/>
        <d v="2025-10-09T00:00:00"/>
        <d v="2025-10-19T00:00:00"/>
        <d v="2025-09-04T00:00:00"/>
        <d v="2025-08-25T00:00:00"/>
        <d v="2025-10-21T00:00:00"/>
        <d v="2025-08-20T00:00:00"/>
        <d v="2025-09-12T00:00:00"/>
        <d v="2025-09-10T00:00:00"/>
        <d v="2025-09-05T00:00:00"/>
        <d v="2025-08-02T00:00:00"/>
        <d v="2025-09-16T00:00:00"/>
        <d v="2025-10-04T00:00:00"/>
        <d v="2025-09-30T00:00:00"/>
        <d v="2025-08-24T00:00:00"/>
        <d v="2025-08-16T00:00:00"/>
        <d v="2025-10-14T00:00:00"/>
        <d v="2025-10-12T00:00:00"/>
        <d v="2025-10-29T00:00:00"/>
        <d v="2025-08-26T00:00:00"/>
        <d v="2025-10-27T00:00:00"/>
        <d v="2025-09-20T00:00:00"/>
        <d v="2025-10-25T00:00:00"/>
        <d v="2025-09-17T00:00:00"/>
        <d v="2025-08-01T00:00:00"/>
        <d v="2025-09-14T00:00:00"/>
        <d v="2025-09-29T00:00:00"/>
        <d v="2025-08-28T00:00:00"/>
        <d v="2025-10-02T00:00:00"/>
        <d v="2025-09-22T00:00:00"/>
        <d v="2025-08-12T00:00:00"/>
        <d v="2025-09-25T00:00:00"/>
        <d v="2025-10-13T00:00:00"/>
        <d v="2025-08-08T00:00:00"/>
        <d v="2025-09-24T00:00:00"/>
      </sharedItems>
    </cacheField>
    <cacheField name="Settlement_Date" numFmtId="14">
      <sharedItems containsSemiMixedTypes="0" containsNonDate="0" containsDate="1" containsString="0" minDate="2025-08-02T00:00:00" maxDate="2025-11-01T00:00:00"/>
    </cacheField>
    <cacheField name="Status" numFmtId="0">
      <sharedItems/>
    </cacheField>
    <cacheField name="Break_Reason" numFmtId="0">
      <sharedItems count="4">
        <s v=""/>
        <s v="Price Mismatch"/>
        <s v="Missing Docs"/>
        <s v="Late Confirmation"/>
      </sharedItems>
    </cacheField>
    <cacheField name="Counterparty" numFmtId="0">
      <sharedItems/>
    </cacheField>
    <cacheField name="Trade_Amount" numFmtId="0">
      <sharedItems containsSemiMixedTypes="0" containsString="0" containsNumber="1" containsInteger="1" minValue="18280" maxValue="4909935"/>
    </cacheField>
    <cacheField name="Resolution_Days" numFmtId="0">
      <sharedItems containsSemiMixedTypes="0" containsString="0" containsNumber="1" containsInteger="1" minValue="0" maxValue="7"/>
    </cacheField>
  </cacheFields>
  <extLst>
    <ext xmlns:x14="http://schemas.microsoft.com/office/spreadsheetml/2009/9/main" uri="{725AE2AE-9491-48be-B2B4-4EB974FC3084}">
      <x14:pivotCacheDefinition pivotCacheId="9796582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T0001"/>
    <x v="0"/>
    <x v="0"/>
    <d v="2025-08-17T00:00:00"/>
    <s v="Settled"/>
    <x v="0"/>
    <s v="Barclays"/>
    <n v="3761465"/>
    <n v="0"/>
  </r>
  <r>
    <s v="T0002"/>
    <x v="1"/>
    <x v="1"/>
    <d v="2025-09-13T00:00:00"/>
    <s v="Settled"/>
    <x v="0"/>
    <s v="Goldman Sachs"/>
    <n v="1279225"/>
    <n v="0"/>
  </r>
  <r>
    <s v="T0003"/>
    <x v="1"/>
    <x v="2"/>
    <d v="2025-08-15T00:00:00"/>
    <s v="Settled"/>
    <x v="0"/>
    <s v="Morgan Stanley"/>
    <n v="3343333"/>
    <n v="0"/>
  </r>
  <r>
    <s v="T0004"/>
    <x v="1"/>
    <x v="3"/>
    <d v="2025-08-23T00:00:00"/>
    <s v="Settled"/>
    <x v="0"/>
    <s v="Goldman Sachs"/>
    <n v="1810186"/>
    <n v="0"/>
  </r>
  <r>
    <s v="T0005"/>
    <x v="0"/>
    <x v="4"/>
    <d v="2025-10-10T00:00:00"/>
    <s v="Pending"/>
    <x v="1"/>
    <s v="Morgan Stanley"/>
    <n v="2482256"/>
    <n v="2"/>
  </r>
  <r>
    <s v="T0006"/>
    <x v="1"/>
    <x v="5"/>
    <d v="2025-10-20T00:00:00"/>
    <s v="Pending"/>
    <x v="1"/>
    <s v="Morgan Stanley"/>
    <n v="1323000"/>
    <n v="6"/>
  </r>
  <r>
    <s v="T0007"/>
    <x v="1"/>
    <x v="6"/>
    <d v="2025-09-17T00:00:00"/>
    <s v="Settled"/>
    <x v="0"/>
    <s v="Goldman Sachs"/>
    <n v="3221985"/>
    <n v="0"/>
  </r>
  <r>
    <s v="T0008"/>
    <x v="1"/>
    <x v="7"/>
    <d v="2025-10-13T00:00:00"/>
    <s v="Failed"/>
    <x v="1"/>
    <s v="Goldman Sachs"/>
    <n v="2382873"/>
    <n v="3"/>
  </r>
  <r>
    <s v="T0009"/>
    <x v="0"/>
    <x v="8"/>
    <d v="2025-09-08T00:00:00"/>
    <s v="Settled"/>
    <x v="0"/>
    <s v="Morgan Stanley"/>
    <n v="4667930"/>
    <n v="0"/>
  </r>
  <r>
    <s v="T0010"/>
    <x v="2"/>
    <x v="9"/>
    <d v="2025-10-08T00:00:00"/>
    <s v="Pending"/>
    <x v="1"/>
    <s v="JPMorgan"/>
    <n v="2798912"/>
    <n v="4"/>
  </r>
  <r>
    <s v="T0011"/>
    <x v="2"/>
    <x v="3"/>
    <d v="2025-08-23T00:00:00"/>
    <s v="Settled"/>
    <x v="0"/>
    <s v="Citi"/>
    <n v="1593605"/>
    <n v="0"/>
  </r>
  <r>
    <s v="T0012"/>
    <x v="1"/>
    <x v="10"/>
    <d v="2025-09-29T00:00:00"/>
    <s v="Settled"/>
    <x v="0"/>
    <s v="Goldman Sachs"/>
    <n v="2911065"/>
    <n v="0"/>
  </r>
  <r>
    <s v="T0013"/>
    <x v="1"/>
    <x v="11"/>
    <d v="2025-08-20T00:00:00"/>
    <s v="Settled"/>
    <x v="0"/>
    <s v="Barclays"/>
    <n v="3287872"/>
    <n v="0"/>
  </r>
  <r>
    <s v="T0014"/>
    <x v="0"/>
    <x v="7"/>
    <d v="2025-10-13T00:00:00"/>
    <s v="Settled"/>
    <x v="0"/>
    <s v="Goldman Sachs"/>
    <n v="1245179"/>
    <n v="0"/>
  </r>
  <r>
    <s v="T0015"/>
    <x v="0"/>
    <x v="12"/>
    <d v="2025-08-08T00:00:00"/>
    <s v="Pending"/>
    <x v="2"/>
    <s v="Barclays"/>
    <n v="332174"/>
    <n v="4"/>
  </r>
  <r>
    <s v="T0016"/>
    <x v="1"/>
    <x v="13"/>
    <d v="2025-08-05T00:00:00"/>
    <s v="Settled"/>
    <x v="0"/>
    <s v="Barclays"/>
    <n v="2503448"/>
    <n v="0"/>
  </r>
  <r>
    <s v="T0017"/>
    <x v="0"/>
    <x v="14"/>
    <d v="2025-10-07T00:00:00"/>
    <s v="Failed"/>
    <x v="3"/>
    <s v="Citi"/>
    <n v="2552306"/>
    <n v="5"/>
  </r>
  <r>
    <s v="T0018"/>
    <x v="2"/>
    <x v="15"/>
    <d v="2025-10-03T00:00:00"/>
    <s v="Pending"/>
    <x v="2"/>
    <s v="Barclays"/>
    <n v="1799760"/>
    <n v="5"/>
  </r>
  <r>
    <s v="T0019"/>
    <x v="1"/>
    <x v="16"/>
    <d v="2025-09-01T00:00:00"/>
    <s v="Failed"/>
    <x v="2"/>
    <s v="Barclays"/>
    <n v="18280"/>
    <n v="4"/>
  </r>
  <r>
    <s v="T0020"/>
    <x v="1"/>
    <x v="1"/>
    <d v="2025-09-13T00:00:00"/>
    <s v="Pending"/>
    <x v="2"/>
    <s v="Goldman Sachs"/>
    <n v="3010294"/>
    <n v="2"/>
  </r>
  <r>
    <s v="T0021"/>
    <x v="1"/>
    <x v="17"/>
    <d v="2025-08-02T00:00:00"/>
    <s v="Settled"/>
    <x v="0"/>
    <s v="Barclays"/>
    <n v="79053"/>
    <n v="0"/>
  </r>
  <r>
    <s v="T0022"/>
    <x v="2"/>
    <x v="18"/>
    <d v="2025-08-29T00:00:00"/>
    <s v="Settled"/>
    <x v="0"/>
    <s v="Barclays"/>
    <n v="2757726"/>
    <n v="0"/>
  </r>
  <r>
    <s v="T0023"/>
    <x v="0"/>
    <x v="19"/>
    <d v="2025-09-05T00:00:00"/>
    <s v="Settled"/>
    <x v="0"/>
    <s v="Goldman Sachs"/>
    <n v="4820986"/>
    <n v="0"/>
  </r>
  <r>
    <s v="T0024"/>
    <x v="2"/>
    <x v="20"/>
    <d v="2025-09-25T00:00:00"/>
    <s v="Pending"/>
    <x v="1"/>
    <s v="JPMorgan"/>
    <n v="1363649"/>
    <n v="7"/>
  </r>
  <r>
    <s v="T0025"/>
    <x v="2"/>
    <x v="21"/>
    <d v="2025-09-21T00:00:00"/>
    <s v="Settled"/>
    <x v="0"/>
    <s v="Barclays"/>
    <n v="2455095"/>
    <n v="0"/>
  </r>
  <r>
    <s v="T0026"/>
    <x v="2"/>
    <x v="22"/>
    <d v="2025-09-04T00:00:00"/>
    <s v="Pending"/>
    <x v="1"/>
    <s v="Barclays"/>
    <n v="39907"/>
    <n v="6"/>
  </r>
  <r>
    <s v="T0027"/>
    <x v="0"/>
    <x v="23"/>
    <d v="2025-08-13T00:00:00"/>
    <s v="Settled"/>
    <x v="0"/>
    <s v="Barclays"/>
    <n v="1216538"/>
    <n v="0"/>
  </r>
  <r>
    <s v="T0028"/>
    <x v="1"/>
    <x v="14"/>
    <d v="2025-10-07T00:00:00"/>
    <s v="Settled"/>
    <x v="0"/>
    <s v="Barclays"/>
    <n v="1102474"/>
    <n v="0"/>
  </r>
  <r>
    <s v="T0029"/>
    <x v="1"/>
    <x v="24"/>
    <d v="2025-09-10T00:00:00"/>
    <s v="Settled"/>
    <x v="0"/>
    <s v="Citi"/>
    <n v="816528"/>
    <n v="0"/>
  </r>
  <r>
    <s v="T0030"/>
    <x v="0"/>
    <x v="15"/>
    <d v="2025-10-03T00:00:00"/>
    <s v="Settled"/>
    <x v="0"/>
    <s v="Goldman Sachs"/>
    <n v="3800322"/>
    <n v="0"/>
  </r>
  <r>
    <s v="T0031"/>
    <x v="0"/>
    <x v="25"/>
    <d v="2025-09-09T00:00:00"/>
    <s v="Pending"/>
    <x v="3"/>
    <s v="Goldman Sachs"/>
    <n v="4895691"/>
    <n v="6"/>
  </r>
  <r>
    <s v="T0032"/>
    <x v="2"/>
    <x v="26"/>
    <d v="2025-10-17T00:00:00"/>
    <s v="Settled"/>
    <x v="0"/>
    <s v="Morgan Stanley"/>
    <n v="1662470"/>
    <n v="0"/>
  </r>
  <r>
    <s v="T0033"/>
    <x v="2"/>
    <x v="27"/>
    <d v="2025-08-24T00:00:00"/>
    <s v="Failed"/>
    <x v="2"/>
    <s v="JPMorgan"/>
    <n v="1080432"/>
    <n v="4"/>
  </r>
  <r>
    <s v="T0034"/>
    <x v="2"/>
    <x v="25"/>
    <d v="2025-09-09T00:00:00"/>
    <s v="Pending"/>
    <x v="2"/>
    <s v="Citi"/>
    <n v="952348"/>
    <n v="1"/>
  </r>
  <r>
    <s v="T0035"/>
    <x v="0"/>
    <x v="28"/>
    <d v="2025-08-31T00:00:00"/>
    <s v="Failed"/>
    <x v="1"/>
    <s v="Citi"/>
    <n v="1607447"/>
    <n v="1"/>
  </r>
  <r>
    <s v="T0036"/>
    <x v="0"/>
    <x v="25"/>
    <d v="2025-09-09T00:00:00"/>
    <s v="Pending"/>
    <x v="1"/>
    <s v="Morgan Stanley"/>
    <n v="3011997"/>
    <n v="1"/>
  </r>
  <r>
    <s v="T0037"/>
    <x v="0"/>
    <x v="29"/>
    <d v="2025-08-19T00:00:00"/>
    <s v="Settled"/>
    <x v="0"/>
    <s v="JPMorgan"/>
    <n v="4759940"/>
    <n v="0"/>
  </r>
  <r>
    <s v="T0038"/>
    <x v="0"/>
    <x v="30"/>
    <d v="2025-09-03T00:00:00"/>
    <s v="Pending"/>
    <x v="3"/>
    <s v="Morgan Stanley"/>
    <n v="1727082"/>
    <n v="4"/>
  </r>
  <r>
    <s v="T0039"/>
    <x v="1"/>
    <x v="15"/>
    <d v="2025-10-03T00:00:00"/>
    <s v="Failed"/>
    <x v="1"/>
    <s v="Citi"/>
    <n v="3225674"/>
    <n v="4"/>
  </r>
  <r>
    <s v="T0040"/>
    <x v="0"/>
    <x v="31"/>
    <d v="2025-10-26T00:00:00"/>
    <s v="Settled"/>
    <x v="0"/>
    <s v="Goldman Sachs"/>
    <n v="2033198"/>
    <n v="0"/>
  </r>
  <r>
    <s v="T0041"/>
    <x v="0"/>
    <x v="32"/>
    <d v="2025-08-07T00:00:00"/>
    <s v="Settled"/>
    <x v="0"/>
    <s v="Barclays"/>
    <n v="2007480"/>
    <n v="0"/>
  </r>
  <r>
    <s v="T0042"/>
    <x v="0"/>
    <x v="33"/>
    <d v="2025-08-09T00:00:00"/>
    <s v="Settled"/>
    <x v="0"/>
    <s v="JPMorgan"/>
    <n v="4135876"/>
    <n v="0"/>
  </r>
  <r>
    <s v="T0043"/>
    <x v="0"/>
    <x v="34"/>
    <d v="2025-09-30T00:00:00"/>
    <s v="Settled"/>
    <x v="0"/>
    <s v="Citi"/>
    <n v="545530"/>
    <n v="0"/>
  </r>
  <r>
    <s v="T0044"/>
    <x v="0"/>
    <x v="18"/>
    <d v="2025-08-29T00:00:00"/>
    <s v="Settled"/>
    <x v="0"/>
    <s v="JPMorgan"/>
    <n v="614487"/>
    <n v="0"/>
  </r>
  <r>
    <s v="T0045"/>
    <x v="2"/>
    <x v="35"/>
    <d v="2025-08-06T00:00:00"/>
    <s v="Pending"/>
    <x v="1"/>
    <s v="Citi"/>
    <n v="768628"/>
    <n v="7"/>
  </r>
  <r>
    <s v="T0046"/>
    <x v="0"/>
    <x v="36"/>
    <d v="2025-09-23T00:00:00"/>
    <s v="Failed"/>
    <x v="1"/>
    <s v="Citi"/>
    <n v="2385313"/>
    <n v="3"/>
  </r>
  <r>
    <s v="T0047"/>
    <x v="2"/>
    <x v="16"/>
    <d v="2025-09-01T00:00:00"/>
    <s v="Pending"/>
    <x v="2"/>
    <s v="Morgan Stanley"/>
    <n v="4905588"/>
    <n v="1"/>
  </r>
  <r>
    <s v="T0048"/>
    <x v="2"/>
    <x v="19"/>
    <d v="2025-09-05T00:00:00"/>
    <s v="Failed"/>
    <x v="3"/>
    <s v="JPMorgan"/>
    <n v="328317"/>
    <n v="2"/>
  </r>
  <r>
    <s v="T0049"/>
    <x v="2"/>
    <x v="37"/>
    <d v="2025-10-19T00:00:00"/>
    <s v="Settled"/>
    <x v="0"/>
    <s v="Morgan Stanley"/>
    <n v="3622227"/>
    <n v="0"/>
  </r>
  <r>
    <s v="T0050"/>
    <x v="0"/>
    <x v="38"/>
    <d v="2025-08-25T00:00:00"/>
    <s v="Failed"/>
    <x v="1"/>
    <s v="JPMorgan"/>
    <n v="1666267"/>
    <n v="4"/>
  </r>
  <r>
    <s v="T0051"/>
    <x v="1"/>
    <x v="39"/>
    <d v="2025-08-12T00:00:00"/>
    <s v="Failed"/>
    <x v="1"/>
    <s v="Citi"/>
    <n v="99161"/>
    <n v="2"/>
  </r>
  <r>
    <s v="T0052"/>
    <x v="2"/>
    <x v="7"/>
    <d v="2025-10-13T00:00:00"/>
    <s v="Settled"/>
    <x v="0"/>
    <s v="JPMorgan"/>
    <n v="4625479"/>
    <n v="0"/>
  </r>
  <r>
    <s v="T0053"/>
    <x v="1"/>
    <x v="2"/>
    <d v="2025-08-15T00:00:00"/>
    <s v="Pending"/>
    <x v="1"/>
    <s v="JPMorgan"/>
    <n v="2749938"/>
    <n v="1"/>
  </r>
  <r>
    <s v="T0054"/>
    <x v="0"/>
    <x v="40"/>
    <d v="2025-10-09T00:00:00"/>
    <s v="Pending"/>
    <x v="3"/>
    <s v="Barclays"/>
    <n v="2210946"/>
    <n v="6"/>
  </r>
  <r>
    <s v="T0055"/>
    <x v="2"/>
    <x v="41"/>
    <d v="2025-10-22T00:00:00"/>
    <s v="Settled"/>
    <x v="0"/>
    <s v="JPMorgan"/>
    <n v="80806"/>
    <n v="0"/>
  </r>
  <r>
    <s v="T0056"/>
    <x v="0"/>
    <x v="42"/>
    <d v="2025-10-12T00:00:00"/>
    <s v="Settled"/>
    <x v="0"/>
    <s v="Morgan Stanley"/>
    <n v="3103914"/>
    <n v="0"/>
  </r>
  <r>
    <s v="T0057"/>
    <x v="1"/>
    <x v="28"/>
    <d v="2025-08-31T00:00:00"/>
    <s v="Settled"/>
    <x v="0"/>
    <s v="Citi"/>
    <n v="4742361"/>
    <n v="0"/>
  </r>
  <r>
    <s v="T0058"/>
    <x v="0"/>
    <x v="43"/>
    <d v="2025-10-11T00:00:00"/>
    <s v="Pending"/>
    <x v="3"/>
    <s v="Barclays"/>
    <n v="3861333"/>
    <n v="4"/>
  </r>
  <r>
    <s v="T0059"/>
    <x v="0"/>
    <x v="44"/>
    <d v="2025-10-21T00:00:00"/>
    <s v="Failed"/>
    <x v="1"/>
    <s v="Morgan Stanley"/>
    <n v="418079"/>
    <n v="7"/>
  </r>
  <r>
    <s v="T0060"/>
    <x v="2"/>
    <x v="45"/>
    <d v="2025-09-06T00:00:00"/>
    <s v="Failed"/>
    <x v="2"/>
    <s v="JPMorgan"/>
    <n v="4105452"/>
    <n v="1"/>
  </r>
  <r>
    <s v="T0061"/>
    <x v="1"/>
    <x v="46"/>
    <d v="2025-08-27T00:00:00"/>
    <s v="Pending"/>
    <x v="1"/>
    <s v="Citi"/>
    <n v="4813591"/>
    <n v="2"/>
  </r>
  <r>
    <s v="T0062"/>
    <x v="2"/>
    <x v="26"/>
    <d v="2025-10-17T00:00:00"/>
    <s v="Settled"/>
    <x v="0"/>
    <s v="Goldman Sachs"/>
    <n v="2450717"/>
    <n v="0"/>
  </r>
  <r>
    <s v="T0063"/>
    <x v="1"/>
    <x v="47"/>
    <d v="2025-10-23T00:00:00"/>
    <s v="Pending"/>
    <x v="2"/>
    <s v="Citi"/>
    <n v="4743402"/>
    <n v="5"/>
  </r>
  <r>
    <s v="T0064"/>
    <x v="0"/>
    <x v="48"/>
    <d v="2025-08-22T00:00:00"/>
    <s v="Pending"/>
    <x v="3"/>
    <s v="JPMorgan"/>
    <n v="1329913"/>
    <n v="3"/>
  </r>
  <r>
    <s v="T0065"/>
    <x v="0"/>
    <x v="49"/>
    <d v="2025-09-14T00:00:00"/>
    <s v="Failed"/>
    <x v="2"/>
    <s v="Goldman Sachs"/>
    <n v="625290"/>
    <n v="7"/>
  </r>
  <r>
    <s v="T0066"/>
    <x v="1"/>
    <x v="11"/>
    <d v="2025-08-20T00:00:00"/>
    <s v="Pending"/>
    <x v="2"/>
    <s v="Citi"/>
    <n v="4524617"/>
    <n v="3"/>
  </r>
  <r>
    <s v="T0067"/>
    <x v="2"/>
    <x v="50"/>
    <d v="2025-09-12T00:00:00"/>
    <s v="Pending"/>
    <x v="3"/>
    <s v="Citi"/>
    <n v="4909935"/>
    <n v="4"/>
  </r>
  <r>
    <s v="T0068"/>
    <x v="0"/>
    <x v="15"/>
    <d v="2025-10-03T00:00:00"/>
    <s v="Failed"/>
    <x v="2"/>
    <s v="Barclays"/>
    <n v="3883029"/>
    <n v="7"/>
  </r>
  <r>
    <s v="T0069"/>
    <x v="2"/>
    <x v="1"/>
    <d v="2025-09-13T00:00:00"/>
    <s v="Settled"/>
    <x v="0"/>
    <s v="Morgan Stanley"/>
    <n v="662865"/>
    <n v="0"/>
  </r>
  <r>
    <s v="T0070"/>
    <x v="2"/>
    <x v="51"/>
    <d v="2025-09-07T00:00:00"/>
    <s v="Pending"/>
    <x v="3"/>
    <s v="Barclays"/>
    <n v="2447041"/>
    <n v="3"/>
  </r>
  <r>
    <s v="T0071"/>
    <x v="2"/>
    <x v="52"/>
    <d v="2025-08-04T00:00:00"/>
    <s v="Settled"/>
    <x v="0"/>
    <s v="Barclays"/>
    <n v="1807388"/>
    <n v="0"/>
  </r>
  <r>
    <s v="T0072"/>
    <x v="1"/>
    <x v="48"/>
    <d v="2025-08-22T00:00:00"/>
    <s v="Failed"/>
    <x v="2"/>
    <s v="Citi"/>
    <n v="618572"/>
    <n v="2"/>
  </r>
  <r>
    <s v="T0073"/>
    <x v="2"/>
    <x v="49"/>
    <d v="2025-09-14T00:00:00"/>
    <s v="Pending"/>
    <x v="3"/>
    <s v="Citi"/>
    <n v="4838322"/>
    <n v="3"/>
  </r>
  <r>
    <s v="T0074"/>
    <x v="0"/>
    <x v="43"/>
    <d v="2025-10-11T00:00:00"/>
    <s v="Settled"/>
    <x v="0"/>
    <s v="Morgan Stanley"/>
    <n v="3851370"/>
    <n v="0"/>
  </r>
  <r>
    <s v="T0075"/>
    <x v="2"/>
    <x v="10"/>
    <d v="2025-09-29T00:00:00"/>
    <s v="Pending"/>
    <x v="1"/>
    <s v="JPMorgan"/>
    <n v="2560370"/>
    <n v="2"/>
  </r>
  <r>
    <s v="T0076"/>
    <x v="1"/>
    <x v="9"/>
    <d v="2025-10-08T00:00:00"/>
    <s v="Failed"/>
    <x v="2"/>
    <s v="JPMorgan"/>
    <n v="4128095"/>
    <n v="3"/>
  </r>
  <r>
    <s v="T0077"/>
    <x v="2"/>
    <x v="51"/>
    <d v="2025-09-07T00:00:00"/>
    <s v="Settled"/>
    <x v="0"/>
    <s v="JPMorgan"/>
    <n v="4654888"/>
    <n v="0"/>
  </r>
  <r>
    <s v="T0078"/>
    <x v="0"/>
    <x v="53"/>
    <d v="2025-09-18T00:00:00"/>
    <s v="Settled"/>
    <x v="0"/>
    <s v="JPMorgan"/>
    <n v="2033196"/>
    <n v="0"/>
  </r>
  <r>
    <s v="T0079"/>
    <x v="1"/>
    <x v="51"/>
    <d v="2025-09-07T00:00:00"/>
    <s v="Failed"/>
    <x v="1"/>
    <s v="JPMorgan"/>
    <n v="1669470"/>
    <n v="3"/>
  </r>
  <r>
    <s v="T0080"/>
    <x v="0"/>
    <x v="54"/>
    <d v="2025-10-06T00:00:00"/>
    <s v="Pending"/>
    <x v="2"/>
    <s v="Goldman Sachs"/>
    <n v="850923"/>
    <n v="4"/>
  </r>
  <r>
    <s v="T0081"/>
    <x v="2"/>
    <x v="28"/>
    <d v="2025-08-31T00:00:00"/>
    <s v="Failed"/>
    <x v="2"/>
    <s v="Barclays"/>
    <n v="3907191"/>
    <n v="6"/>
  </r>
  <r>
    <s v="T0082"/>
    <x v="0"/>
    <x v="50"/>
    <d v="2025-09-12T00:00:00"/>
    <s v="Settled"/>
    <x v="0"/>
    <s v="Citi"/>
    <n v="1062762"/>
    <n v="0"/>
  </r>
  <r>
    <s v="T0083"/>
    <x v="2"/>
    <x v="55"/>
    <d v="2025-10-02T00:00:00"/>
    <s v="Pending"/>
    <x v="1"/>
    <s v="Goldman Sachs"/>
    <n v="3545322"/>
    <n v="7"/>
  </r>
  <r>
    <s v="T0084"/>
    <x v="1"/>
    <x v="56"/>
    <d v="2025-08-26T00:00:00"/>
    <s v="Pending"/>
    <x v="3"/>
    <s v="Goldman Sachs"/>
    <n v="2003406"/>
    <n v="5"/>
  </r>
  <r>
    <s v="T0085"/>
    <x v="0"/>
    <x v="34"/>
    <d v="2025-09-30T00:00:00"/>
    <s v="Failed"/>
    <x v="2"/>
    <s v="Citi"/>
    <n v="3045424"/>
    <n v="3"/>
  </r>
  <r>
    <s v="T0086"/>
    <x v="0"/>
    <x v="55"/>
    <d v="2025-10-02T00:00:00"/>
    <s v="Failed"/>
    <x v="2"/>
    <s v="Morgan Stanley"/>
    <n v="4017813"/>
    <n v="5"/>
  </r>
  <r>
    <s v="T0087"/>
    <x v="1"/>
    <x v="15"/>
    <d v="2025-10-03T00:00:00"/>
    <s v="Pending"/>
    <x v="2"/>
    <s v="Citi"/>
    <n v="3883238"/>
    <n v="5"/>
  </r>
  <r>
    <s v="T0088"/>
    <x v="1"/>
    <x v="42"/>
    <d v="2025-10-12T00:00:00"/>
    <s v="Settled"/>
    <x v="0"/>
    <s v="Barclays"/>
    <n v="461209"/>
    <n v="0"/>
  </r>
  <r>
    <s v="T0089"/>
    <x v="2"/>
    <x v="57"/>
    <d v="2025-08-18T00:00:00"/>
    <s v="Settled"/>
    <x v="0"/>
    <s v="Goldman Sachs"/>
    <n v="722863"/>
    <n v="0"/>
  </r>
  <r>
    <s v="T0090"/>
    <x v="0"/>
    <x v="20"/>
    <d v="2025-09-25T00:00:00"/>
    <s v="Pending"/>
    <x v="2"/>
    <s v="Barclays"/>
    <n v="4217690"/>
    <n v="3"/>
  </r>
  <r>
    <s v="T0091"/>
    <x v="1"/>
    <x v="58"/>
    <d v="2025-10-16T00:00:00"/>
    <s v="Pending"/>
    <x v="1"/>
    <s v="Morgan Stanley"/>
    <n v="2136118"/>
    <n v="5"/>
  </r>
  <r>
    <s v="T0092"/>
    <x v="2"/>
    <x v="6"/>
    <d v="2025-09-17T00:00:00"/>
    <s v="Failed"/>
    <x v="3"/>
    <s v="Morgan Stanley"/>
    <n v="3276473"/>
    <n v="2"/>
  </r>
  <r>
    <s v="T0093"/>
    <x v="0"/>
    <x v="59"/>
    <d v="2025-10-14T00:00:00"/>
    <s v="Failed"/>
    <x v="3"/>
    <s v="Barclays"/>
    <n v="1650941"/>
    <n v="3"/>
  </r>
  <r>
    <s v="T0094"/>
    <x v="0"/>
    <x v="57"/>
    <d v="2025-08-18T00:00:00"/>
    <s v="Failed"/>
    <x v="2"/>
    <s v="Morgan Stanley"/>
    <n v="2992147"/>
    <n v="7"/>
  </r>
  <r>
    <s v="T0095"/>
    <x v="1"/>
    <x v="60"/>
    <d v="2025-10-31T00:00:00"/>
    <s v="Settled"/>
    <x v="0"/>
    <s v="Goldman Sachs"/>
    <n v="1141596"/>
    <n v="0"/>
  </r>
  <r>
    <s v="T0096"/>
    <x v="1"/>
    <x v="1"/>
    <d v="2025-09-13T00:00:00"/>
    <s v="Failed"/>
    <x v="2"/>
    <s v="JPMorgan"/>
    <n v="1539482"/>
    <n v="7"/>
  </r>
  <r>
    <s v="T0097"/>
    <x v="0"/>
    <x v="61"/>
    <d v="2025-08-28T00:00:00"/>
    <s v="Failed"/>
    <x v="2"/>
    <s v="Goldman Sachs"/>
    <n v="1858168"/>
    <n v="6"/>
  </r>
  <r>
    <s v="T0098"/>
    <x v="1"/>
    <x v="62"/>
    <d v="2025-10-29T00:00:00"/>
    <s v="Failed"/>
    <x v="1"/>
    <s v="Citi"/>
    <n v="2821501"/>
    <n v="6"/>
  </r>
  <r>
    <s v="T0099"/>
    <x v="0"/>
    <x v="63"/>
    <d v="2025-09-22T00:00:00"/>
    <s v="Failed"/>
    <x v="3"/>
    <s v="Barclays"/>
    <n v="4520149"/>
    <n v="2"/>
  </r>
  <r>
    <s v="T0100"/>
    <x v="2"/>
    <x v="30"/>
    <d v="2025-09-03T00:00:00"/>
    <s v="Pending"/>
    <x v="2"/>
    <s v="Barclays"/>
    <n v="4745213"/>
    <n v="6"/>
  </r>
  <r>
    <s v="T0101"/>
    <x v="0"/>
    <x v="49"/>
    <d v="2025-09-14T00:00:00"/>
    <s v="Settled"/>
    <x v="0"/>
    <s v="Barclays"/>
    <n v="1400673"/>
    <n v="0"/>
  </r>
  <r>
    <s v="T0102"/>
    <x v="2"/>
    <x v="64"/>
    <d v="2025-10-27T00:00:00"/>
    <s v="Settled"/>
    <x v="0"/>
    <s v="Morgan Stanley"/>
    <n v="1250520"/>
    <n v="0"/>
  </r>
  <r>
    <s v="T0103"/>
    <x v="0"/>
    <x v="28"/>
    <d v="2025-08-31T00:00:00"/>
    <s v="Settled"/>
    <x v="0"/>
    <s v="JPMorgan"/>
    <n v="317883"/>
    <n v="0"/>
  </r>
  <r>
    <s v="T0104"/>
    <x v="2"/>
    <x v="65"/>
    <d v="2025-09-19T00:00:00"/>
    <s v="Failed"/>
    <x v="2"/>
    <s v="Barclays"/>
    <n v="4008689"/>
    <n v="4"/>
  </r>
  <r>
    <s v="T0105"/>
    <x v="2"/>
    <x v="11"/>
    <d v="2025-08-20T00:00:00"/>
    <s v="Settled"/>
    <x v="0"/>
    <s v="Goldman Sachs"/>
    <n v="647779"/>
    <n v="0"/>
  </r>
  <r>
    <s v="T0106"/>
    <x v="1"/>
    <x v="22"/>
    <d v="2025-09-04T00:00:00"/>
    <s v="Failed"/>
    <x v="1"/>
    <s v="Citi"/>
    <n v="4610351"/>
    <n v="1"/>
  </r>
  <r>
    <s v="T0107"/>
    <x v="2"/>
    <x v="56"/>
    <d v="2025-08-26T00:00:00"/>
    <s v="Pending"/>
    <x v="1"/>
    <s v="Morgan Stanley"/>
    <n v="775906"/>
    <n v="4"/>
  </r>
  <r>
    <s v="T0108"/>
    <x v="1"/>
    <x v="56"/>
    <d v="2025-08-26T00:00:00"/>
    <s v="Settled"/>
    <x v="0"/>
    <s v="Goldman Sachs"/>
    <n v="2511466"/>
    <n v="0"/>
  </r>
  <r>
    <s v="T0109"/>
    <x v="2"/>
    <x v="66"/>
    <d v="2025-08-03T00:00:00"/>
    <s v="Settled"/>
    <x v="0"/>
    <s v="Barclays"/>
    <n v="2377888"/>
    <n v="0"/>
  </r>
  <r>
    <s v="T0110"/>
    <x v="2"/>
    <x v="41"/>
    <d v="2025-10-22T00:00:00"/>
    <s v="Pending"/>
    <x v="2"/>
    <s v="JPMorgan"/>
    <n v="3375660"/>
    <n v="5"/>
  </r>
  <r>
    <s v="T0111"/>
    <x v="0"/>
    <x v="23"/>
    <d v="2025-08-13T00:00:00"/>
    <s v="Pending"/>
    <x v="1"/>
    <s v="Morgan Stanley"/>
    <n v="4518212"/>
    <n v="5"/>
  </r>
  <r>
    <s v="T0112"/>
    <x v="0"/>
    <x v="35"/>
    <d v="2025-08-06T00:00:00"/>
    <s v="Failed"/>
    <x v="2"/>
    <s v="JPMorgan"/>
    <n v="1068818"/>
    <n v="1"/>
  </r>
  <r>
    <s v="T0113"/>
    <x v="1"/>
    <x v="50"/>
    <d v="2025-09-12T00:00:00"/>
    <s v="Settled"/>
    <x v="0"/>
    <s v="Goldman Sachs"/>
    <n v="3890340"/>
    <n v="0"/>
  </r>
  <r>
    <s v="T0114"/>
    <x v="0"/>
    <x v="3"/>
    <d v="2025-08-23T00:00:00"/>
    <s v="Failed"/>
    <x v="1"/>
    <s v="Morgan Stanley"/>
    <n v="1159399"/>
    <n v="6"/>
  </r>
  <r>
    <s v="T0115"/>
    <x v="2"/>
    <x v="67"/>
    <d v="2025-09-16T00:00:00"/>
    <s v="Pending"/>
    <x v="2"/>
    <s v="Morgan Stanley"/>
    <n v="3152722"/>
    <n v="1"/>
  </r>
  <r>
    <s v="T0116"/>
    <x v="2"/>
    <x v="68"/>
    <d v="2025-10-01T00:00:00"/>
    <s v="Settled"/>
    <x v="0"/>
    <s v="Goldman Sachs"/>
    <n v="2074211"/>
    <n v="0"/>
  </r>
  <r>
    <s v="T0117"/>
    <x v="2"/>
    <x v="15"/>
    <d v="2025-10-03T00:00:00"/>
    <s v="Failed"/>
    <x v="1"/>
    <s v="Goldman Sachs"/>
    <n v="826839"/>
    <n v="2"/>
  </r>
  <r>
    <s v="T0118"/>
    <x v="0"/>
    <x v="14"/>
    <d v="2025-10-07T00:00:00"/>
    <s v="Failed"/>
    <x v="3"/>
    <s v="Goldman Sachs"/>
    <n v="2016344"/>
    <n v="5"/>
  </r>
  <r>
    <s v="T0119"/>
    <x v="0"/>
    <x v="69"/>
    <d v="2025-08-30T00:00:00"/>
    <s v="Pending"/>
    <x v="2"/>
    <s v="Barclays"/>
    <n v="3940533"/>
    <n v="1"/>
  </r>
  <r>
    <s v="T0120"/>
    <x v="0"/>
    <x v="42"/>
    <d v="2025-10-12T00:00:00"/>
    <s v="Pending"/>
    <x v="3"/>
    <s v="Goldman Sachs"/>
    <n v="1167214"/>
    <n v="4"/>
  </r>
  <r>
    <s v="T0121"/>
    <x v="0"/>
    <x v="11"/>
    <d v="2025-08-20T00:00:00"/>
    <s v="Settled"/>
    <x v="0"/>
    <s v="Morgan Stanley"/>
    <n v="203284"/>
    <n v="0"/>
  </r>
  <r>
    <s v="T0122"/>
    <x v="2"/>
    <x v="30"/>
    <d v="2025-09-03T00:00:00"/>
    <s v="Failed"/>
    <x v="1"/>
    <s v="Morgan Stanley"/>
    <n v="953484"/>
    <n v="6"/>
  </r>
  <r>
    <s v="T0123"/>
    <x v="1"/>
    <x v="27"/>
    <d v="2025-08-24T00:00:00"/>
    <s v="Settled"/>
    <x v="0"/>
    <s v="Morgan Stanley"/>
    <n v="2953345"/>
    <n v="0"/>
  </r>
  <r>
    <s v="T0124"/>
    <x v="0"/>
    <x v="15"/>
    <d v="2025-10-03T00:00:00"/>
    <s v="Failed"/>
    <x v="1"/>
    <s v="Morgan Stanley"/>
    <n v="4521386"/>
    <n v="5"/>
  </r>
  <r>
    <s v="T0125"/>
    <x v="2"/>
    <x v="35"/>
    <d v="2025-08-06T00:00:00"/>
    <s v="Failed"/>
    <x v="2"/>
    <s v="Barclays"/>
    <n v="3865375"/>
    <n v="1"/>
  </r>
  <r>
    <s v="T0126"/>
    <x v="0"/>
    <x v="70"/>
    <d v="2025-10-04T00:00:00"/>
    <s v="Pending"/>
    <x v="1"/>
    <s v="JPMorgan"/>
    <n v="3448345"/>
    <n v="4"/>
  </r>
  <r>
    <s v="T0127"/>
    <x v="2"/>
    <x v="50"/>
    <d v="2025-09-12T00:00:00"/>
    <s v="Pending"/>
    <x v="1"/>
    <s v="Morgan Stanley"/>
    <n v="2109720"/>
    <n v="5"/>
  </r>
  <r>
    <s v="T0128"/>
    <x v="1"/>
    <x v="71"/>
    <d v="2025-09-24T00:00:00"/>
    <s v="Failed"/>
    <x v="1"/>
    <s v="Morgan Stanley"/>
    <n v="2003647"/>
    <n v="2"/>
  </r>
  <r>
    <s v="T0129"/>
    <x v="0"/>
    <x v="72"/>
    <d v="2025-08-14T00:00:00"/>
    <s v="Settled"/>
    <x v="0"/>
    <s v="Morgan Stanley"/>
    <n v="265698"/>
    <n v="0"/>
  </r>
  <r>
    <s v="T0130"/>
    <x v="1"/>
    <x v="73"/>
    <d v="2025-09-27T00:00:00"/>
    <s v="Pending"/>
    <x v="1"/>
    <s v="JPMorgan"/>
    <n v="23494"/>
    <n v="1"/>
  </r>
  <r>
    <s v="T0131"/>
    <x v="0"/>
    <x v="42"/>
    <d v="2025-10-12T00:00:00"/>
    <s v="Settled"/>
    <x v="0"/>
    <s v="Barclays"/>
    <n v="57896"/>
    <n v="0"/>
  </r>
  <r>
    <s v="T0132"/>
    <x v="0"/>
    <x v="74"/>
    <d v="2025-10-15T00:00:00"/>
    <s v="Pending"/>
    <x v="2"/>
    <s v="Barclays"/>
    <n v="1112331"/>
    <n v="1"/>
  </r>
  <r>
    <s v="T0133"/>
    <x v="1"/>
    <x v="52"/>
    <d v="2025-08-04T00:00:00"/>
    <s v="Settled"/>
    <x v="0"/>
    <s v="Goldman Sachs"/>
    <n v="2918675"/>
    <n v="0"/>
  </r>
  <r>
    <s v="T0134"/>
    <x v="0"/>
    <x v="42"/>
    <d v="2025-10-12T00:00:00"/>
    <s v="Pending"/>
    <x v="2"/>
    <s v="Morgan Stanley"/>
    <n v="3484652"/>
    <n v="4"/>
  </r>
  <r>
    <s v="T0135"/>
    <x v="2"/>
    <x v="71"/>
    <d v="2025-09-24T00:00:00"/>
    <s v="Failed"/>
    <x v="3"/>
    <s v="Citi"/>
    <n v="487796"/>
    <n v="2"/>
  </r>
  <r>
    <s v="T0136"/>
    <x v="0"/>
    <x v="70"/>
    <d v="2025-10-04T00:00:00"/>
    <s v="Settled"/>
    <x v="0"/>
    <s v="Morgan Stanley"/>
    <n v="4825578"/>
    <n v="0"/>
  </r>
  <r>
    <s v="T0137"/>
    <x v="1"/>
    <x v="71"/>
    <d v="2025-09-24T00:00:00"/>
    <s v="Settled"/>
    <x v="0"/>
    <s v="JPMorgan"/>
    <n v="561170"/>
    <n v="0"/>
  </r>
  <r>
    <s v="T0138"/>
    <x v="1"/>
    <x v="75"/>
    <d v="2025-08-10T00:00:00"/>
    <s v="Failed"/>
    <x v="3"/>
    <s v="Barclays"/>
    <n v="3449299"/>
    <n v="1"/>
  </r>
  <r>
    <s v="T0139"/>
    <x v="1"/>
    <x v="69"/>
    <d v="2025-08-30T00:00:00"/>
    <s v="Pending"/>
    <x v="1"/>
    <s v="Citi"/>
    <n v="2961851"/>
    <n v="2"/>
  </r>
  <r>
    <s v="T0140"/>
    <x v="0"/>
    <x v="36"/>
    <d v="2025-09-23T00:00:00"/>
    <s v="Pending"/>
    <x v="2"/>
    <s v="Citi"/>
    <n v="3140840"/>
    <n v="7"/>
  </r>
  <r>
    <s v="T0141"/>
    <x v="2"/>
    <x v="42"/>
    <d v="2025-10-12T00:00:00"/>
    <s v="Pending"/>
    <x v="1"/>
    <s v="Morgan Stanley"/>
    <n v="1529670"/>
    <n v="5"/>
  </r>
  <r>
    <s v="T0142"/>
    <x v="2"/>
    <x v="28"/>
    <d v="2025-08-31T00:00:00"/>
    <s v="Failed"/>
    <x v="3"/>
    <s v="Morgan Stanley"/>
    <n v="1877657"/>
    <n v="1"/>
  </r>
  <r>
    <s v="T0143"/>
    <x v="2"/>
    <x v="8"/>
    <d v="2025-09-08T00:00:00"/>
    <s v="Pending"/>
    <x v="3"/>
    <s v="Goldman Sachs"/>
    <n v="35754"/>
    <n v="1"/>
  </r>
  <r>
    <s v="T0144"/>
    <x v="0"/>
    <x v="76"/>
    <d v="2025-09-26T00:00:00"/>
    <s v="Settled"/>
    <x v="0"/>
    <s v="Goldman Sachs"/>
    <n v="1903319"/>
    <n v="0"/>
  </r>
  <r>
    <s v="T0145"/>
    <x v="2"/>
    <x v="28"/>
    <d v="2025-08-31T00:00:00"/>
    <s v="Settled"/>
    <x v="0"/>
    <s v="Citi"/>
    <n v="1885952"/>
    <n v="0"/>
  </r>
  <r>
    <s v="T0146"/>
    <x v="0"/>
    <x v="34"/>
    <d v="2025-09-30T00:00:00"/>
    <s v="Failed"/>
    <x v="3"/>
    <s v="Goldman Sachs"/>
    <n v="1493790"/>
    <n v="5"/>
  </r>
  <r>
    <s v="T0147"/>
    <x v="1"/>
    <x v="70"/>
    <d v="2025-10-04T00:00:00"/>
    <s v="Settled"/>
    <x v="0"/>
    <s v="Citi"/>
    <n v="2930632"/>
    <n v="0"/>
  </r>
  <r>
    <s v="T0148"/>
    <x v="1"/>
    <x v="68"/>
    <d v="2025-10-01T00:00:00"/>
    <s v="Failed"/>
    <x v="3"/>
    <s v="Citi"/>
    <n v="76012"/>
    <n v="6"/>
  </r>
  <r>
    <s v="T0149"/>
    <x v="2"/>
    <x v="31"/>
    <d v="2025-10-26T00:00:00"/>
    <s v="Failed"/>
    <x v="2"/>
    <s v="Citi"/>
    <n v="3972642"/>
    <n v="1"/>
  </r>
  <r>
    <s v="T0150"/>
    <x v="1"/>
    <x v="60"/>
    <d v="2025-10-31T00:00:00"/>
    <s v="Failed"/>
    <x v="3"/>
    <s v="JPMorgan"/>
    <n v="1094788"/>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85656A-6129-4A07-9B57-1052859F63F9}" name="PivotTable2"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8:B12" firstHeaderRow="1" firstDataRow="1" firstDataCol="1"/>
  <pivotFields count="9">
    <pivotField showAll="0"/>
    <pivotField showAll="0">
      <items count="4">
        <item x="1"/>
        <item x="2"/>
        <item x="0"/>
        <item t="default"/>
      </items>
    </pivotField>
    <pivotField numFmtId="14" showAll="0">
      <items count="78">
        <item x="17"/>
        <item x="66"/>
        <item x="52"/>
        <item x="13"/>
        <item x="35"/>
        <item x="32"/>
        <item x="12"/>
        <item x="33"/>
        <item x="75"/>
        <item x="39"/>
        <item x="23"/>
        <item x="72"/>
        <item x="2"/>
        <item x="0"/>
        <item x="57"/>
        <item x="29"/>
        <item x="11"/>
        <item x="48"/>
        <item x="3"/>
        <item x="27"/>
        <item x="38"/>
        <item x="56"/>
        <item x="46"/>
        <item x="61"/>
        <item x="18"/>
        <item x="69"/>
        <item x="28"/>
        <item x="16"/>
        <item x="30"/>
        <item x="22"/>
        <item x="19"/>
        <item x="45"/>
        <item x="51"/>
        <item x="8"/>
        <item x="25"/>
        <item x="24"/>
        <item x="50"/>
        <item x="1"/>
        <item x="49"/>
        <item x="67"/>
        <item x="6"/>
        <item x="53"/>
        <item x="65"/>
        <item x="21"/>
        <item x="63"/>
        <item x="36"/>
        <item x="71"/>
        <item x="20"/>
        <item x="76"/>
        <item x="73"/>
        <item x="10"/>
        <item x="34"/>
        <item x="68"/>
        <item x="55"/>
        <item x="15"/>
        <item x="70"/>
        <item x="54"/>
        <item x="14"/>
        <item x="9"/>
        <item x="40"/>
        <item x="4"/>
        <item x="43"/>
        <item x="42"/>
        <item x="7"/>
        <item x="59"/>
        <item x="74"/>
        <item x="58"/>
        <item x="26"/>
        <item x="37"/>
        <item x="5"/>
        <item x="44"/>
        <item x="41"/>
        <item x="47"/>
        <item x="31"/>
        <item x="64"/>
        <item x="62"/>
        <item x="60"/>
        <item t="default"/>
      </items>
    </pivotField>
    <pivotField numFmtId="14" showAll="0"/>
    <pivotField dataField="1" showAll="0"/>
    <pivotField axis="axisRow" showAll="0">
      <items count="5">
        <item h="1" x="0"/>
        <item x="3"/>
        <item x="2"/>
        <item x="1"/>
        <item t="default"/>
      </items>
    </pivotField>
    <pivotField showAll="0"/>
    <pivotField showAll="0"/>
    <pivotField showAll="0"/>
  </pivotFields>
  <rowFields count="1">
    <field x="5"/>
  </rowFields>
  <rowItems count="4">
    <i>
      <x v="1"/>
    </i>
    <i>
      <x v="2"/>
    </i>
    <i>
      <x v="3"/>
    </i>
    <i t="grand">
      <x/>
    </i>
  </rowItems>
  <colItems count="1">
    <i/>
  </colItems>
  <dataFields count="1">
    <dataField name="Break Count" fld="4" subtotal="count" baseField="5"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FC3063-BF7B-4BB0-B0DB-9285ADE4E8E6}" name="PivotTable1"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1:B5" firstHeaderRow="1" firstDataRow="1" firstDataCol="1"/>
  <pivotFields count="9">
    <pivotField showAll="0"/>
    <pivotField axis="axisRow" showAll="0">
      <items count="4">
        <item x="1"/>
        <item x="2"/>
        <item x="0"/>
        <item t="default"/>
      </items>
    </pivotField>
    <pivotField numFmtId="14" showAll="0">
      <items count="78">
        <item x="17"/>
        <item x="66"/>
        <item x="52"/>
        <item x="13"/>
        <item x="35"/>
        <item x="32"/>
        <item x="12"/>
        <item x="33"/>
        <item x="75"/>
        <item x="39"/>
        <item x="23"/>
        <item x="72"/>
        <item x="2"/>
        <item x="0"/>
        <item x="57"/>
        <item x="29"/>
        <item x="11"/>
        <item x="48"/>
        <item x="3"/>
        <item x="27"/>
        <item x="38"/>
        <item x="56"/>
        <item x="46"/>
        <item x="61"/>
        <item x="18"/>
        <item x="69"/>
        <item x="28"/>
        <item x="16"/>
        <item x="30"/>
        <item x="22"/>
        <item x="19"/>
        <item x="45"/>
        <item x="51"/>
        <item x="8"/>
        <item x="25"/>
        <item x="24"/>
        <item x="50"/>
        <item x="1"/>
        <item x="49"/>
        <item x="67"/>
        <item x="6"/>
        <item x="53"/>
        <item x="65"/>
        <item x="21"/>
        <item x="63"/>
        <item x="36"/>
        <item x="71"/>
        <item x="20"/>
        <item x="76"/>
        <item x="73"/>
        <item x="10"/>
        <item x="34"/>
        <item x="68"/>
        <item x="55"/>
        <item x="15"/>
        <item x="70"/>
        <item x="54"/>
        <item x="14"/>
        <item x="9"/>
        <item x="40"/>
        <item x="4"/>
        <item x="43"/>
        <item x="42"/>
        <item x="7"/>
        <item x="59"/>
        <item x="74"/>
        <item x="58"/>
        <item x="26"/>
        <item x="37"/>
        <item x="5"/>
        <item x="44"/>
        <item x="41"/>
        <item x="47"/>
        <item x="31"/>
        <item x="64"/>
        <item x="62"/>
        <item x="60"/>
        <item t="default"/>
      </items>
    </pivotField>
    <pivotField numFmtId="14" showAll="0"/>
    <pivotField dataField="1" showAll="0"/>
    <pivotField showAll="0"/>
    <pivotField showAll="0"/>
    <pivotField showAll="0"/>
    <pivotField showAll="0"/>
  </pivotFields>
  <rowFields count="1">
    <field x="1"/>
  </rowFields>
  <rowItems count="4">
    <i>
      <x/>
    </i>
    <i>
      <x v="1"/>
    </i>
    <i>
      <x v="2"/>
    </i>
    <i t="grand">
      <x/>
    </i>
  </rowItems>
  <colItems count="1">
    <i/>
  </colItems>
  <dataFields count="1">
    <dataField name="Trade Count" fld="4" subtotal="count" baseField="1"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et_Class" xr10:uid="{EF1AD734-8A52-4E23-B408-D92256A956C4}" sourceName="Asset_Class">
  <pivotTables>
    <pivotTable tabId="2" name="PivotTable1"/>
    <pivotTable tabId="2" name="PivotTable2"/>
  </pivotTables>
  <data>
    <tabular pivotCacheId="979658233">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sset_Class" xr10:uid="{2CA94477-46EA-49D4-A599-7EB3E9A5D71F}" cache="Slicer_Asset_Class" caption="Asset_Clas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7D5F40-7D8D-4138-AF55-CB568260C7CA}" name="tblTrades" displayName="tblTrades" ref="A1:I151" totalsRowShown="0">
  <autoFilter ref="A1:I151" xr:uid="{5C7D5F40-7D8D-4138-AF55-CB568260C7CA}"/>
  <tableColumns count="9">
    <tableColumn id="1" xr3:uid="{1F134C27-1E8B-43ED-B79A-E8A3F3CD8D4B}" name="Trade_ID"/>
    <tableColumn id="2" xr3:uid="{B1671E21-0D79-4BC9-9612-433039546416}" name="Asset_Class" dataDxfId="8"/>
    <tableColumn id="3" xr3:uid="{8751E19C-C8DB-45BB-BA76-84D7880C4C5E}" name="Trade_Date" dataDxfId="7"/>
    <tableColumn id="4" xr3:uid="{83E21BA3-F124-4A04-88A1-DC38A40201B1}" name="Settlement_Date" dataDxfId="6"/>
    <tableColumn id="5" xr3:uid="{E6332ADC-7DDD-4A8E-9031-4A5DC1EF637E}" name="Status" dataDxfId="5"/>
    <tableColumn id="6" xr3:uid="{1C1D0B98-5A13-40AA-B684-CC7397BD85CF}" name="Break_Reason" dataDxfId="4"/>
    <tableColumn id="7" xr3:uid="{17A47C16-15E3-41DE-9BC4-4382B630534A}" name="Counterparty" dataDxfId="3"/>
    <tableColumn id="8" xr3:uid="{50E2F0D9-5CFC-432B-9FB0-427ACF25B4FD}" name="Trade_Amount" dataDxfId="2"/>
    <tableColumn id="9" xr3:uid="{ACD18740-1B27-41FD-A145-AB72E98080F7}" name="Resolution_Days"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de_Date" xr10:uid="{495227B0-748E-42BE-8B76-9946D7BE8D22}" sourceName="Trade_Date">
  <pivotTables>
    <pivotTable tabId="2" name="PivotTable2"/>
    <pivotTable tabId="2" name="PivotTable1"/>
  </pivotTables>
  <state minimalRefreshVersion="6" lastRefreshVersion="6" pivotCacheId="979658233"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de_Date" xr10:uid="{EE75EDC8-EF1D-4913-9DC6-A058413C90D8}" cache="NativeTimeline_Trade_Date" caption="Trade_Date" level="2" selectionLevel="2" scrollPosition="2025-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3B478-3976-4E15-81DD-D3E74D2E9C78}">
  <dimension ref="A1:I151"/>
  <sheetViews>
    <sheetView topLeftCell="A112" workbookViewId="0">
      <selection activeCell="L11" sqref="L11"/>
    </sheetView>
  </sheetViews>
  <sheetFormatPr defaultRowHeight="15" x14ac:dyDescent="0.25"/>
  <cols>
    <col min="1" max="1" width="11" customWidth="1"/>
    <col min="2" max="2" width="14" customWidth="1"/>
    <col min="3" max="3" width="13.28515625" customWidth="1"/>
    <col min="4" max="4" width="18.42578125" customWidth="1"/>
    <col min="6" max="6" width="16.7109375" bestFit="1" customWidth="1"/>
    <col min="7" max="7" width="15.140625" customWidth="1"/>
    <col min="8" max="8" width="16" customWidth="1"/>
    <col min="9" max="9" width="18.28515625" customWidth="1"/>
  </cols>
  <sheetData>
    <row r="1" spans="1:9" x14ac:dyDescent="0.25">
      <c r="A1" t="s">
        <v>0</v>
      </c>
      <c r="B1" t="s">
        <v>1</v>
      </c>
      <c r="C1" t="s">
        <v>2</v>
      </c>
      <c r="D1" t="s">
        <v>3</v>
      </c>
      <c r="E1" t="s">
        <v>4</v>
      </c>
      <c r="F1" t="s">
        <v>5</v>
      </c>
      <c r="G1" t="s">
        <v>6</v>
      </c>
      <c r="H1" t="s">
        <v>7</v>
      </c>
      <c r="I1" t="s">
        <v>8</v>
      </c>
    </row>
    <row r="2" spans="1:9" x14ac:dyDescent="0.25">
      <c r="A2" t="s">
        <v>9</v>
      </c>
      <c r="B2" t="s">
        <v>10</v>
      </c>
      <c r="C2" s="1">
        <v>45884</v>
      </c>
      <c r="D2" s="1">
        <v>45886</v>
      </c>
      <c r="E2" t="s">
        <v>11</v>
      </c>
      <c r="F2" t="s">
        <v>12</v>
      </c>
      <c r="G2" t="s">
        <v>13</v>
      </c>
      <c r="H2">
        <v>3761465</v>
      </c>
      <c r="I2">
        <v>0</v>
      </c>
    </row>
    <row r="3" spans="1:9" x14ac:dyDescent="0.25">
      <c r="A3" t="s">
        <v>14</v>
      </c>
      <c r="B3" t="s">
        <v>15</v>
      </c>
      <c r="C3" s="1">
        <v>45911</v>
      </c>
      <c r="D3" s="1">
        <v>45913</v>
      </c>
      <c r="E3" t="s">
        <v>11</v>
      </c>
      <c r="F3" t="s">
        <v>12</v>
      </c>
      <c r="G3" t="s">
        <v>16</v>
      </c>
      <c r="H3">
        <v>1279225</v>
      </c>
      <c r="I3">
        <v>0</v>
      </c>
    </row>
    <row r="4" spans="1:9" x14ac:dyDescent="0.25">
      <c r="A4" t="s">
        <v>17</v>
      </c>
      <c r="B4" t="s">
        <v>15</v>
      </c>
      <c r="C4" s="1">
        <v>45882</v>
      </c>
      <c r="D4" s="1">
        <v>45884</v>
      </c>
      <c r="E4" t="s">
        <v>11</v>
      </c>
      <c r="F4" t="s">
        <v>12</v>
      </c>
      <c r="G4" t="s">
        <v>18</v>
      </c>
      <c r="H4">
        <v>3343333</v>
      </c>
      <c r="I4">
        <v>0</v>
      </c>
    </row>
    <row r="5" spans="1:9" x14ac:dyDescent="0.25">
      <c r="A5" t="s">
        <v>19</v>
      </c>
      <c r="B5" t="s">
        <v>15</v>
      </c>
      <c r="C5" s="1">
        <v>45890</v>
      </c>
      <c r="D5" s="1">
        <v>45892</v>
      </c>
      <c r="E5" t="s">
        <v>11</v>
      </c>
      <c r="F5" t="s">
        <v>12</v>
      </c>
      <c r="G5" t="s">
        <v>16</v>
      </c>
      <c r="H5">
        <v>1810186</v>
      </c>
      <c r="I5">
        <v>0</v>
      </c>
    </row>
    <row r="6" spans="1:9" x14ac:dyDescent="0.25">
      <c r="A6" t="s">
        <v>20</v>
      </c>
      <c r="B6" t="s">
        <v>10</v>
      </c>
      <c r="C6" s="1">
        <v>45938</v>
      </c>
      <c r="D6" s="1">
        <v>45940</v>
      </c>
      <c r="E6" t="s">
        <v>21</v>
      </c>
      <c r="F6" t="s">
        <v>22</v>
      </c>
      <c r="G6" t="s">
        <v>18</v>
      </c>
      <c r="H6">
        <v>2482256</v>
      </c>
      <c r="I6">
        <v>2</v>
      </c>
    </row>
    <row r="7" spans="1:9" x14ac:dyDescent="0.25">
      <c r="A7" t="s">
        <v>23</v>
      </c>
      <c r="B7" t="s">
        <v>15</v>
      </c>
      <c r="C7" s="1">
        <v>45948</v>
      </c>
      <c r="D7" s="1">
        <v>45950</v>
      </c>
      <c r="E7" t="s">
        <v>21</v>
      </c>
      <c r="F7" t="s">
        <v>22</v>
      </c>
      <c r="G7" t="s">
        <v>18</v>
      </c>
      <c r="H7">
        <v>1323000</v>
      </c>
      <c r="I7">
        <v>6</v>
      </c>
    </row>
    <row r="8" spans="1:9" x14ac:dyDescent="0.25">
      <c r="A8" t="s">
        <v>24</v>
      </c>
      <c r="B8" t="s">
        <v>15</v>
      </c>
      <c r="C8" s="1">
        <v>45915</v>
      </c>
      <c r="D8" s="1">
        <v>45917</v>
      </c>
      <c r="E8" t="s">
        <v>11</v>
      </c>
      <c r="F8" t="s">
        <v>12</v>
      </c>
      <c r="G8" t="s">
        <v>16</v>
      </c>
      <c r="H8">
        <v>3221985</v>
      </c>
      <c r="I8">
        <v>0</v>
      </c>
    </row>
    <row r="9" spans="1:9" x14ac:dyDescent="0.25">
      <c r="A9" t="s">
        <v>25</v>
      </c>
      <c r="B9" t="s">
        <v>15</v>
      </c>
      <c r="C9" s="1">
        <v>45941</v>
      </c>
      <c r="D9" s="1">
        <v>45943</v>
      </c>
      <c r="E9" t="s">
        <v>26</v>
      </c>
      <c r="F9" t="s">
        <v>22</v>
      </c>
      <c r="G9" t="s">
        <v>16</v>
      </c>
      <c r="H9">
        <v>2382873</v>
      </c>
      <c r="I9">
        <v>3</v>
      </c>
    </row>
    <row r="10" spans="1:9" x14ac:dyDescent="0.25">
      <c r="A10" t="s">
        <v>27</v>
      </c>
      <c r="B10" t="s">
        <v>10</v>
      </c>
      <c r="C10" s="1">
        <v>45906</v>
      </c>
      <c r="D10" s="1">
        <v>45908</v>
      </c>
      <c r="E10" t="s">
        <v>11</v>
      </c>
      <c r="F10" t="s">
        <v>12</v>
      </c>
      <c r="G10" t="s">
        <v>18</v>
      </c>
      <c r="H10">
        <v>4667930</v>
      </c>
      <c r="I10">
        <v>0</v>
      </c>
    </row>
    <row r="11" spans="1:9" x14ac:dyDescent="0.25">
      <c r="A11" t="s">
        <v>28</v>
      </c>
      <c r="B11" t="s">
        <v>29</v>
      </c>
      <c r="C11" s="1">
        <v>45936</v>
      </c>
      <c r="D11" s="1">
        <v>45938</v>
      </c>
      <c r="E11" t="s">
        <v>21</v>
      </c>
      <c r="F11" t="s">
        <v>22</v>
      </c>
      <c r="G11" t="s">
        <v>30</v>
      </c>
      <c r="H11">
        <v>2798912</v>
      </c>
      <c r="I11">
        <v>4</v>
      </c>
    </row>
    <row r="12" spans="1:9" x14ac:dyDescent="0.25">
      <c r="A12" t="s">
        <v>31</v>
      </c>
      <c r="B12" t="s">
        <v>29</v>
      </c>
      <c r="C12" s="1">
        <v>45890</v>
      </c>
      <c r="D12" s="1">
        <v>45892</v>
      </c>
      <c r="E12" t="s">
        <v>11</v>
      </c>
      <c r="F12" t="s">
        <v>12</v>
      </c>
      <c r="G12" t="s">
        <v>32</v>
      </c>
      <c r="H12">
        <v>1593605</v>
      </c>
      <c r="I12">
        <v>0</v>
      </c>
    </row>
    <row r="13" spans="1:9" x14ac:dyDescent="0.25">
      <c r="A13" t="s">
        <v>33</v>
      </c>
      <c r="B13" t="s">
        <v>15</v>
      </c>
      <c r="C13" s="1">
        <v>45927</v>
      </c>
      <c r="D13" s="1">
        <v>45929</v>
      </c>
      <c r="E13" t="s">
        <v>11</v>
      </c>
      <c r="F13" t="s">
        <v>12</v>
      </c>
      <c r="G13" t="s">
        <v>16</v>
      </c>
      <c r="H13">
        <v>2911065</v>
      </c>
      <c r="I13">
        <v>0</v>
      </c>
    </row>
    <row r="14" spans="1:9" x14ac:dyDescent="0.25">
      <c r="A14" t="s">
        <v>34</v>
      </c>
      <c r="B14" t="s">
        <v>15</v>
      </c>
      <c r="C14" s="1">
        <v>45887</v>
      </c>
      <c r="D14" s="1">
        <v>45889</v>
      </c>
      <c r="E14" t="s">
        <v>11</v>
      </c>
      <c r="F14" t="s">
        <v>12</v>
      </c>
      <c r="G14" t="s">
        <v>13</v>
      </c>
      <c r="H14">
        <v>3287872</v>
      </c>
      <c r="I14">
        <v>0</v>
      </c>
    </row>
    <row r="15" spans="1:9" x14ac:dyDescent="0.25">
      <c r="A15" t="s">
        <v>35</v>
      </c>
      <c r="B15" t="s">
        <v>10</v>
      </c>
      <c r="C15" s="1">
        <v>45941</v>
      </c>
      <c r="D15" s="1">
        <v>45943</v>
      </c>
      <c r="E15" t="s">
        <v>11</v>
      </c>
      <c r="F15" t="s">
        <v>12</v>
      </c>
      <c r="G15" t="s">
        <v>16</v>
      </c>
      <c r="H15">
        <v>1245179</v>
      </c>
      <c r="I15">
        <v>0</v>
      </c>
    </row>
    <row r="16" spans="1:9" x14ac:dyDescent="0.25">
      <c r="A16" t="s">
        <v>36</v>
      </c>
      <c r="B16" t="s">
        <v>10</v>
      </c>
      <c r="C16" s="1">
        <v>45875</v>
      </c>
      <c r="D16" s="1">
        <v>45877</v>
      </c>
      <c r="E16" t="s">
        <v>21</v>
      </c>
      <c r="F16" t="s">
        <v>37</v>
      </c>
      <c r="G16" t="s">
        <v>13</v>
      </c>
      <c r="H16">
        <v>332174</v>
      </c>
      <c r="I16">
        <v>4</v>
      </c>
    </row>
    <row r="17" spans="1:9" x14ac:dyDescent="0.25">
      <c r="A17" t="s">
        <v>38</v>
      </c>
      <c r="B17" t="s">
        <v>15</v>
      </c>
      <c r="C17" s="1">
        <v>45872</v>
      </c>
      <c r="D17" s="1">
        <v>45874</v>
      </c>
      <c r="E17" t="s">
        <v>11</v>
      </c>
      <c r="F17" t="s">
        <v>12</v>
      </c>
      <c r="G17" t="s">
        <v>13</v>
      </c>
      <c r="H17">
        <v>2503448</v>
      </c>
      <c r="I17">
        <v>0</v>
      </c>
    </row>
    <row r="18" spans="1:9" x14ac:dyDescent="0.25">
      <c r="A18" t="s">
        <v>39</v>
      </c>
      <c r="B18" t="s">
        <v>10</v>
      </c>
      <c r="C18" s="1">
        <v>45935</v>
      </c>
      <c r="D18" s="1">
        <v>45937</v>
      </c>
      <c r="E18" t="s">
        <v>26</v>
      </c>
      <c r="F18" t="s">
        <v>40</v>
      </c>
      <c r="G18" t="s">
        <v>32</v>
      </c>
      <c r="H18">
        <v>2552306</v>
      </c>
      <c r="I18">
        <v>5</v>
      </c>
    </row>
    <row r="19" spans="1:9" x14ac:dyDescent="0.25">
      <c r="A19" t="s">
        <v>41</v>
      </c>
      <c r="B19" t="s">
        <v>29</v>
      </c>
      <c r="C19" s="1">
        <v>45931</v>
      </c>
      <c r="D19" s="1">
        <v>45933</v>
      </c>
      <c r="E19" t="s">
        <v>21</v>
      </c>
      <c r="F19" t="s">
        <v>37</v>
      </c>
      <c r="G19" t="s">
        <v>13</v>
      </c>
      <c r="H19">
        <v>1799760</v>
      </c>
      <c r="I19">
        <v>5</v>
      </c>
    </row>
    <row r="20" spans="1:9" x14ac:dyDescent="0.25">
      <c r="A20" t="s">
        <v>42</v>
      </c>
      <c r="B20" t="s">
        <v>15</v>
      </c>
      <c r="C20" s="1">
        <v>45899</v>
      </c>
      <c r="D20" s="1">
        <v>45901</v>
      </c>
      <c r="E20" t="s">
        <v>26</v>
      </c>
      <c r="F20" t="s">
        <v>37</v>
      </c>
      <c r="G20" t="s">
        <v>13</v>
      </c>
      <c r="H20">
        <v>18280</v>
      </c>
      <c r="I20">
        <v>4</v>
      </c>
    </row>
    <row r="21" spans="1:9" x14ac:dyDescent="0.25">
      <c r="A21" t="s">
        <v>43</v>
      </c>
      <c r="B21" t="s">
        <v>15</v>
      </c>
      <c r="C21" s="1">
        <v>45911</v>
      </c>
      <c r="D21" s="1">
        <v>45913</v>
      </c>
      <c r="E21" t="s">
        <v>21</v>
      </c>
      <c r="F21" t="s">
        <v>37</v>
      </c>
      <c r="G21" t="s">
        <v>16</v>
      </c>
      <c r="H21">
        <v>3010294</v>
      </c>
      <c r="I21">
        <v>2</v>
      </c>
    </row>
    <row r="22" spans="1:9" x14ac:dyDescent="0.25">
      <c r="A22" t="s">
        <v>44</v>
      </c>
      <c r="B22" t="s">
        <v>15</v>
      </c>
      <c r="C22" s="1">
        <v>45869</v>
      </c>
      <c r="D22" s="1">
        <v>45871</v>
      </c>
      <c r="E22" t="s">
        <v>11</v>
      </c>
      <c r="F22" t="s">
        <v>12</v>
      </c>
      <c r="G22" t="s">
        <v>13</v>
      </c>
      <c r="H22">
        <v>79053</v>
      </c>
      <c r="I22">
        <v>0</v>
      </c>
    </row>
    <row r="23" spans="1:9" x14ac:dyDescent="0.25">
      <c r="A23" t="s">
        <v>45</v>
      </c>
      <c r="B23" t="s">
        <v>29</v>
      </c>
      <c r="C23" s="1">
        <v>45896</v>
      </c>
      <c r="D23" s="1">
        <v>45898</v>
      </c>
      <c r="E23" t="s">
        <v>11</v>
      </c>
      <c r="F23" t="s">
        <v>12</v>
      </c>
      <c r="G23" t="s">
        <v>13</v>
      </c>
      <c r="H23">
        <v>2757726</v>
      </c>
      <c r="I23">
        <v>0</v>
      </c>
    </row>
    <row r="24" spans="1:9" x14ac:dyDescent="0.25">
      <c r="A24" t="s">
        <v>46</v>
      </c>
      <c r="B24" t="s">
        <v>10</v>
      </c>
      <c r="C24" s="1">
        <v>45903</v>
      </c>
      <c r="D24" s="1">
        <v>45905</v>
      </c>
      <c r="E24" t="s">
        <v>11</v>
      </c>
      <c r="F24" t="s">
        <v>12</v>
      </c>
      <c r="G24" t="s">
        <v>16</v>
      </c>
      <c r="H24">
        <v>4820986</v>
      </c>
      <c r="I24">
        <v>0</v>
      </c>
    </row>
    <row r="25" spans="1:9" x14ac:dyDescent="0.25">
      <c r="A25" t="s">
        <v>47</v>
      </c>
      <c r="B25" t="s">
        <v>29</v>
      </c>
      <c r="C25" s="1">
        <v>45923</v>
      </c>
      <c r="D25" s="1">
        <v>45925</v>
      </c>
      <c r="E25" t="s">
        <v>21</v>
      </c>
      <c r="F25" t="s">
        <v>22</v>
      </c>
      <c r="G25" t="s">
        <v>30</v>
      </c>
      <c r="H25">
        <v>1363649</v>
      </c>
      <c r="I25">
        <v>7</v>
      </c>
    </row>
    <row r="26" spans="1:9" x14ac:dyDescent="0.25">
      <c r="A26" t="s">
        <v>48</v>
      </c>
      <c r="B26" t="s">
        <v>29</v>
      </c>
      <c r="C26" s="1">
        <v>45919</v>
      </c>
      <c r="D26" s="1">
        <v>45921</v>
      </c>
      <c r="E26" t="s">
        <v>11</v>
      </c>
      <c r="F26" t="s">
        <v>12</v>
      </c>
      <c r="G26" t="s">
        <v>13</v>
      </c>
      <c r="H26">
        <v>2455095</v>
      </c>
      <c r="I26">
        <v>0</v>
      </c>
    </row>
    <row r="27" spans="1:9" x14ac:dyDescent="0.25">
      <c r="A27" t="s">
        <v>49</v>
      </c>
      <c r="B27" t="s">
        <v>29</v>
      </c>
      <c r="C27" s="1">
        <v>45902</v>
      </c>
      <c r="D27" s="1">
        <v>45904</v>
      </c>
      <c r="E27" t="s">
        <v>21</v>
      </c>
      <c r="F27" t="s">
        <v>22</v>
      </c>
      <c r="G27" t="s">
        <v>13</v>
      </c>
      <c r="H27">
        <v>39907</v>
      </c>
      <c r="I27">
        <v>6</v>
      </c>
    </row>
    <row r="28" spans="1:9" x14ac:dyDescent="0.25">
      <c r="A28" t="s">
        <v>50</v>
      </c>
      <c r="B28" t="s">
        <v>10</v>
      </c>
      <c r="C28" s="1">
        <v>45880</v>
      </c>
      <c r="D28" s="1">
        <v>45882</v>
      </c>
      <c r="E28" t="s">
        <v>11</v>
      </c>
      <c r="F28" t="s">
        <v>12</v>
      </c>
      <c r="G28" t="s">
        <v>13</v>
      </c>
      <c r="H28">
        <v>1216538</v>
      </c>
      <c r="I28">
        <v>0</v>
      </c>
    </row>
    <row r="29" spans="1:9" x14ac:dyDescent="0.25">
      <c r="A29" t="s">
        <v>51</v>
      </c>
      <c r="B29" t="s">
        <v>15</v>
      </c>
      <c r="C29" s="1">
        <v>45935</v>
      </c>
      <c r="D29" s="1">
        <v>45937</v>
      </c>
      <c r="E29" t="s">
        <v>11</v>
      </c>
      <c r="F29" t="s">
        <v>12</v>
      </c>
      <c r="G29" t="s">
        <v>13</v>
      </c>
      <c r="H29">
        <v>1102474</v>
      </c>
      <c r="I29">
        <v>0</v>
      </c>
    </row>
    <row r="30" spans="1:9" x14ac:dyDescent="0.25">
      <c r="A30" t="s">
        <v>52</v>
      </c>
      <c r="B30" t="s">
        <v>15</v>
      </c>
      <c r="C30" s="1">
        <v>45908</v>
      </c>
      <c r="D30" s="1">
        <v>45910</v>
      </c>
      <c r="E30" t="s">
        <v>11</v>
      </c>
      <c r="F30" t="s">
        <v>12</v>
      </c>
      <c r="G30" t="s">
        <v>32</v>
      </c>
      <c r="H30">
        <v>816528</v>
      </c>
      <c r="I30">
        <v>0</v>
      </c>
    </row>
    <row r="31" spans="1:9" x14ac:dyDescent="0.25">
      <c r="A31" t="s">
        <v>53</v>
      </c>
      <c r="B31" t="s">
        <v>10</v>
      </c>
      <c r="C31" s="1">
        <v>45931</v>
      </c>
      <c r="D31" s="1">
        <v>45933</v>
      </c>
      <c r="E31" t="s">
        <v>11</v>
      </c>
      <c r="F31" t="s">
        <v>12</v>
      </c>
      <c r="G31" t="s">
        <v>16</v>
      </c>
      <c r="H31">
        <v>3800322</v>
      </c>
      <c r="I31">
        <v>0</v>
      </c>
    </row>
    <row r="32" spans="1:9" x14ac:dyDescent="0.25">
      <c r="A32" t="s">
        <v>54</v>
      </c>
      <c r="B32" t="s">
        <v>10</v>
      </c>
      <c r="C32" s="1">
        <v>45907</v>
      </c>
      <c r="D32" s="1">
        <v>45909</v>
      </c>
      <c r="E32" t="s">
        <v>21</v>
      </c>
      <c r="F32" t="s">
        <v>40</v>
      </c>
      <c r="G32" t="s">
        <v>16</v>
      </c>
      <c r="H32">
        <v>4895691</v>
      </c>
      <c r="I32">
        <v>6</v>
      </c>
    </row>
    <row r="33" spans="1:9" x14ac:dyDescent="0.25">
      <c r="A33" t="s">
        <v>55</v>
      </c>
      <c r="B33" t="s">
        <v>29</v>
      </c>
      <c r="C33" s="1">
        <v>45945</v>
      </c>
      <c r="D33" s="1">
        <v>45947</v>
      </c>
      <c r="E33" t="s">
        <v>11</v>
      </c>
      <c r="F33" t="s">
        <v>12</v>
      </c>
      <c r="G33" t="s">
        <v>18</v>
      </c>
      <c r="H33">
        <v>1662470</v>
      </c>
      <c r="I33">
        <v>0</v>
      </c>
    </row>
    <row r="34" spans="1:9" x14ac:dyDescent="0.25">
      <c r="A34" t="s">
        <v>56</v>
      </c>
      <c r="B34" t="s">
        <v>29</v>
      </c>
      <c r="C34" s="1">
        <v>45891</v>
      </c>
      <c r="D34" s="1">
        <v>45893</v>
      </c>
      <c r="E34" t="s">
        <v>26</v>
      </c>
      <c r="F34" t="s">
        <v>37</v>
      </c>
      <c r="G34" t="s">
        <v>30</v>
      </c>
      <c r="H34">
        <v>1080432</v>
      </c>
      <c r="I34">
        <v>4</v>
      </c>
    </row>
    <row r="35" spans="1:9" x14ac:dyDescent="0.25">
      <c r="A35" t="s">
        <v>57</v>
      </c>
      <c r="B35" t="s">
        <v>29</v>
      </c>
      <c r="C35" s="1">
        <v>45907</v>
      </c>
      <c r="D35" s="1">
        <v>45909</v>
      </c>
      <c r="E35" t="s">
        <v>21</v>
      </c>
      <c r="F35" t="s">
        <v>37</v>
      </c>
      <c r="G35" t="s">
        <v>32</v>
      </c>
      <c r="H35">
        <v>952348</v>
      </c>
      <c r="I35">
        <v>1</v>
      </c>
    </row>
    <row r="36" spans="1:9" x14ac:dyDescent="0.25">
      <c r="A36" t="s">
        <v>58</v>
      </c>
      <c r="B36" t="s">
        <v>10</v>
      </c>
      <c r="C36" s="1">
        <v>45898</v>
      </c>
      <c r="D36" s="1">
        <v>45900</v>
      </c>
      <c r="E36" t="s">
        <v>26</v>
      </c>
      <c r="F36" t="s">
        <v>22</v>
      </c>
      <c r="G36" t="s">
        <v>32</v>
      </c>
      <c r="H36">
        <v>1607447</v>
      </c>
      <c r="I36">
        <v>1</v>
      </c>
    </row>
    <row r="37" spans="1:9" x14ac:dyDescent="0.25">
      <c r="A37" t="s">
        <v>59</v>
      </c>
      <c r="B37" t="s">
        <v>10</v>
      </c>
      <c r="C37" s="1">
        <v>45907</v>
      </c>
      <c r="D37" s="1">
        <v>45909</v>
      </c>
      <c r="E37" t="s">
        <v>21</v>
      </c>
      <c r="F37" t="s">
        <v>22</v>
      </c>
      <c r="G37" t="s">
        <v>18</v>
      </c>
      <c r="H37">
        <v>3011997</v>
      </c>
      <c r="I37">
        <v>1</v>
      </c>
    </row>
    <row r="38" spans="1:9" x14ac:dyDescent="0.25">
      <c r="A38" t="s">
        <v>60</v>
      </c>
      <c r="B38" t="s">
        <v>10</v>
      </c>
      <c r="C38" s="1">
        <v>45886</v>
      </c>
      <c r="D38" s="1">
        <v>45888</v>
      </c>
      <c r="E38" t="s">
        <v>11</v>
      </c>
      <c r="F38" t="s">
        <v>12</v>
      </c>
      <c r="G38" t="s">
        <v>30</v>
      </c>
      <c r="H38">
        <v>4759940</v>
      </c>
      <c r="I38">
        <v>0</v>
      </c>
    </row>
    <row r="39" spans="1:9" x14ac:dyDescent="0.25">
      <c r="A39" t="s">
        <v>61</v>
      </c>
      <c r="B39" t="s">
        <v>10</v>
      </c>
      <c r="C39" s="1">
        <v>45901</v>
      </c>
      <c r="D39" s="1">
        <v>45903</v>
      </c>
      <c r="E39" t="s">
        <v>21</v>
      </c>
      <c r="F39" t="s">
        <v>40</v>
      </c>
      <c r="G39" t="s">
        <v>18</v>
      </c>
      <c r="H39">
        <v>1727082</v>
      </c>
      <c r="I39">
        <v>4</v>
      </c>
    </row>
    <row r="40" spans="1:9" x14ac:dyDescent="0.25">
      <c r="A40" t="s">
        <v>62</v>
      </c>
      <c r="B40" t="s">
        <v>15</v>
      </c>
      <c r="C40" s="1">
        <v>45931</v>
      </c>
      <c r="D40" s="1">
        <v>45933</v>
      </c>
      <c r="E40" t="s">
        <v>26</v>
      </c>
      <c r="F40" t="s">
        <v>22</v>
      </c>
      <c r="G40" t="s">
        <v>32</v>
      </c>
      <c r="H40">
        <v>3225674</v>
      </c>
      <c r="I40">
        <v>4</v>
      </c>
    </row>
    <row r="41" spans="1:9" x14ac:dyDescent="0.25">
      <c r="A41" t="s">
        <v>63</v>
      </c>
      <c r="B41" t="s">
        <v>10</v>
      </c>
      <c r="C41" s="1">
        <v>45954</v>
      </c>
      <c r="D41" s="1">
        <v>45956</v>
      </c>
      <c r="E41" t="s">
        <v>11</v>
      </c>
      <c r="F41" t="s">
        <v>12</v>
      </c>
      <c r="G41" t="s">
        <v>16</v>
      </c>
      <c r="H41">
        <v>2033198</v>
      </c>
      <c r="I41">
        <v>0</v>
      </c>
    </row>
    <row r="42" spans="1:9" x14ac:dyDescent="0.25">
      <c r="A42" t="s">
        <v>64</v>
      </c>
      <c r="B42" t="s">
        <v>10</v>
      </c>
      <c r="C42" s="1">
        <v>45874</v>
      </c>
      <c r="D42" s="1">
        <v>45876</v>
      </c>
      <c r="E42" t="s">
        <v>11</v>
      </c>
      <c r="F42" t="s">
        <v>12</v>
      </c>
      <c r="G42" t="s">
        <v>13</v>
      </c>
      <c r="H42">
        <v>2007480</v>
      </c>
      <c r="I42">
        <v>0</v>
      </c>
    </row>
    <row r="43" spans="1:9" x14ac:dyDescent="0.25">
      <c r="A43" t="s">
        <v>65</v>
      </c>
      <c r="B43" t="s">
        <v>10</v>
      </c>
      <c r="C43" s="1">
        <v>45876</v>
      </c>
      <c r="D43" s="1">
        <v>45878</v>
      </c>
      <c r="E43" t="s">
        <v>11</v>
      </c>
      <c r="F43" t="s">
        <v>12</v>
      </c>
      <c r="G43" t="s">
        <v>30</v>
      </c>
      <c r="H43">
        <v>4135876</v>
      </c>
      <c r="I43">
        <v>0</v>
      </c>
    </row>
    <row r="44" spans="1:9" x14ac:dyDescent="0.25">
      <c r="A44" t="s">
        <v>66</v>
      </c>
      <c r="B44" t="s">
        <v>10</v>
      </c>
      <c r="C44" s="1">
        <v>45928</v>
      </c>
      <c r="D44" s="1">
        <v>45930</v>
      </c>
      <c r="E44" t="s">
        <v>11</v>
      </c>
      <c r="F44" t="s">
        <v>12</v>
      </c>
      <c r="G44" t="s">
        <v>32</v>
      </c>
      <c r="H44">
        <v>545530</v>
      </c>
      <c r="I44">
        <v>0</v>
      </c>
    </row>
    <row r="45" spans="1:9" x14ac:dyDescent="0.25">
      <c r="A45" t="s">
        <v>67</v>
      </c>
      <c r="B45" t="s">
        <v>10</v>
      </c>
      <c r="C45" s="1">
        <v>45896</v>
      </c>
      <c r="D45" s="1">
        <v>45898</v>
      </c>
      <c r="E45" t="s">
        <v>11</v>
      </c>
      <c r="F45" t="s">
        <v>12</v>
      </c>
      <c r="G45" t="s">
        <v>30</v>
      </c>
      <c r="H45">
        <v>614487</v>
      </c>
      <c r="I45">
        <v>0</v>
      </c>
    </row>
    <row r="46" spans="1:9" x14ac:dyDescent="0.25">
      <c r="A46" t="s">
        <v>68</v>
      </c>
      <c r="B46" t="s">
        <v>29</v>
      </c>
      <c r="C46" s="1">
        <v>45873</v>
      </c>
      <c r="D46" s="1">
        <v>45875</v>
      </c>
      <c r="E46" t="s">
        <v>21</v>
      </c>
      <c r="F46" t="s">
        <v>22</v>
      </c>
      <c r="G46" t="s">
        <v>32</v>
      </c>
      <c r="H46">
        <v>768628</v>
      </c>
      <c r="I46">
        <v>7</v>
      </c>
    </row>
    <row r="47" spans="1:9" x14ac:dyDescent="0.25">
      <c r="A47" t="s">
        <v>69</v>
      </c>
      <c r="B47" t="s">
        <v>10</v>
      </c>
      <c r="C47" s="1">
        <v>45921</v>
      </c>
      <c r="D47" s="1">
        <v>45923</v>
      </c>
      <c r="E47" t="s">
        <v>26</v>
      </c>
      <c r="F47" t="s">
        <v>22</v>
      </c>
      <c r="G47" t="s">
        <v>32</v>
      </c>
      <c r="H47">
        <v>2385313</v>
      </c>
      <c r="I47">
        <v>3</v>
      </c>
    </row>
    <row r="48" spans="1:9" x14ac:dyDescent="0.25">
      <c r="A48" t="s">
        <v>70</v>
      </c>
      <c r="B48" t="s">
        <v>29</v>
      </c>
      <c r="C48" s="1">
        <v>45899</v>
      </c>
      <c r="D48" s="1">
        <v>45901</v>
      </c>
      <c r="E48" t="s">
        <v>21</v>
      </c>
      <c r="F48" t="s">
        <v>37</v>
      </c>
      <c r="G48" t="s">
        <v>18</v>
      </c>
      <c r="H48">
        <v>4905588</v>
      </c>
      <c r="I48">
        <v>1</v>
      </c>
    </row>
    <row r="49" spans="1:9" x14ac:dyDescent="0.25">
      <c r="A49" t="s">
        <v>71</v>
      </c>
      <c r="B49" t="s">
        <v>29</v>
      </c>
      <c r="C49" s="1">
        <v>45903</v>
      </c>
      <c r="D49" s="1">
        <v>45905</v>
      </c>
      <c r="E49" t="s">
        <v>26</v>
      </c>
      <c r="F49" t="s">
        <v>40</v>
      </c>
      <c r="G49" t="s">
        <v>30</v>
      </c>
      <c r="H49">
        <v>328317</v>
      </c>
      <c r="I49">
        <v>2</v>
      </c>
    </row>
    <row r="50" spans="1:9" x14ac:dyDescent="0.25">
      <c r="A50" t="s">
        <v>72</v>
      </c>
      <c r="B50" t="s">
        <v>29</v>
      </c>
      <c r="C50" s="1">
        <v>45947</v>
      </c>
      <c r="D50" s="1">
        <v>45949</v>
      </c>
      <c r="E50" t="s">
        <v>11</v>
      </c>
      <c r="F50" t="s">
        <v>12</v>
      </c>
      <c r="G50" t="s">
        <v>18</v>
      </c>
      <c r="H50">
        <v>3622227</v>
      </c>
      <c r="I50">
        <v>0</v>
      </c>
    </row>
    <row r="51" spans="1:9" x14ac:dyDescent="0.25">
      <c r="A51" t="s">
        <v>73</v>
      </c>
      <c r="B51" t="s">
        <v>10</v>
      </c>
      <c r="C51" s="1">
        <v>45892</v>
      </c>
      <c r="D51" s="1">
        <v>45894</v>
      </c>
      <c r="E51" t="s">
        <v>26</v>
      </c>
      <c r="F51" t="s">
        <v>22</v>
      </c>
      <c r="G51" t="s">
        <v>30</v>
      </c>
      <c r="H51">
        <v>1666267</v>
      </c>
      <c r="I51">
        <v>4</v>
      </c>
    </row>
    <row r="52" spans="1:9" x14ac:dyDescent="0.25">
      <c r="A52" t="s">
        <v>74</v>
      </c>
      <c r="B52" t="s">
        <v>15</v>
      </c>
      <c r="C52" s="1">
        <v>45879</v>
      </c>
      <c r="D52" s="1">
        <v>45881</v>
      </c>
      <c r="E52" t="s">
        <v>26</v>
      </c>
      <c r="F52" t="s">
        <v>22</v>
      </c>
      <c r="G52" t="s">
        <v>32</v>
      </c>
      <c r="H52">
        <v>99161</v>
      </c>
      <c r="I52">
        <v>2</v>
      </c>
    </row>
    <row r="53" spans="1:9" x14ac:dyDescent="0.25">
      <c r="A53" t="s">
        <v>75</v>
      </c>
      <c r="B53" t="s">
        <v>29</v>
      </c>
      <c r="C53" s="1">
        <v>45941</v>
      </c>
      <c r="D53" s="1">
        <v>45943</v>
      </c>
      <c r="E53" t="s">
        <v>11</v>
      </c>
      <c r="F53" t="s">
        <v>12</v>
      </c>
      <c r="G53" t="s">
        <v>30</v>
      </c>
      <c r="H53">
        <v>4625479</v>
      </c>
      <c r="I53">
        <v>0</v>
      </c>
    </row>
    <row r="54" spans="1:9" x14ac:dyDescent="0.25">
      <c r="A54" t="s">
        <v>76</v>
      </c>
      <c r="B54" t="s">
        <v>15</v>
      </c>
      <c r="C54" s="1">
        <v>45882</v>
      </c>
      <c r="D54" s="1">
        <v>45884</v>
      </c>
      <c r="E54" t="s">
        <v>21</v>
      </c>
      <c r="F54" t="s">
        <v>22</v>
      </c>
      <c r="G54" t="s">
        <v>30</v>
      </c>
      <c r="H54">
        <v>2749938</v>
      </c>
      <c r="I54">
        <v>1</v>
      </c>
    </row>
    <row r="55" spans="1:9" x14ac:dyDescent="0.25">
      <c r="A55" t="s">
        <v>77</v>
      </c>
      <c r="B55" t="s">
        <v>10</v>
      </c>
      <c r="C55" s="1">
        <v>45937</v>
      </c>
      <c r="D55" s="1">
        <v>45939</v>
      </c>
      <c r="E55" t="s">
        <v>21</v>
      </c>
      <c r="F55" t="s">
        <v>40</v>
      </c>
      <c r="G55" t="s">
        <v>13</v>
      </c>
      <c r="H55">
        <v>2210946</v>
      </c>
      <c r="I55">
        <v>6</v>
      </c>
    </row>
    <row r="56" spans="1:9" x14ac:dyDescent="0.25">
      <c r="A56" t="s">
        <v>78</v>
      </c>
      <c r="B56" t="s">
        <v>29</v>
      </c>
      <c r="C56" s="1">
        <v>45950</v>
      </c>
      <c r="D56" s="1">
        <v>45952</v>
      </c>
      <c r="E56" t="s">
        <v>11</v>
      </c>
      <c r="F56" t="s">
        <v>12</v>
      </c>
      <c r="G56" t="s">
        <v>30</v>
      </c>
      <c r="H56">
        <v>80806</v>
      </c>
      <c r="I56">
        <v>0</v>
      </c>
    </row>
    <row r="57" spans="1:9" x14ac:dyDescent="0.25">
      <c r="A57" t="s">
        <v>79</v>
      </c>
      <c r="B57" t="s">
        <v>10</v>
      </c>
      <c r="C57" s="1">
        <v>45940</v>
      </c>
      <c r="D57" s="1">
        <v>45942</v>
      </c>
      <c r="E57" t="s">
        <v>11</v>
      </c>
      <c r="F57" t="s">
        <v>12</v>
      </c>
      <c r="G57" t="s">
        <v>18</v>
      </c>
      <c r="H57">
        <v>3103914</v>
      </c>
      <c r="I57">
        <v>0</v>
      </c>
    </row>
    <row r="58" spans="1:9" x14ac:dyDescent="0.25">
      <c r="A58" t="s">
        <v>80</v>
      </c>
      <c r="B58" t="s">
        <v>15</v>
      </c>
      <c r="C58" s="1">
        <v>45898</v>
      </c>
      <c r="D58" s="1">
        <v>45900</v>
      </c>
      <c r="E58" t="s">
        <v>11</v>
      </c>
      <c r="F58" t="s">
        <v>12</v>
      </c>
      <c r="G58" t="s">
        <v>32</v>
      </c>
      <c r="H58">
        <v>4742361</v>
      </c>
      <c r="I58">
        <v>0</v>
      </c>
    </row>
    <row r="59" spans="1:9" x14ac:dyDescent="0.25">
      <c r="A59" t="s">
        <v>81</v>
      </c>
      <c r="B59" t="s">
        <v>10</v>
      </c>
      <c r="C59" s="1">
        <v>45939</v>
      </c>
      <c r="D59" s="1">
        <v>45941</v>
      </c>
      <c r="E59" t="s">
        <v>21</v>
      </c>
      <c r="F59" t="s">
        <v>40</v>
      </c>
      <c r="G59" t="s">
        <v>13</v>
      </c>
      <c r="H59">
        <v>3861333</v>
      </c>
      <c r="I59">
        <v>4</v>
      </c>
    </row>
    <row r="60" spans="1:9" x14ac:dyDescent="0.25">
      <c r="A60" t="s">
        <v>82</v>
      </c>
      <c r="B60" t="s">
        <v>10</v>
      </c>
      <c r="C60" s="1">
        <v>45949</v>
      </c>
      <c r="D60" s="1">
        <v>45951</v>
      </c>
      <c r="E60" t="s">
        <v>26</v>
      </c>
      <c r="F60" t="s">
        <v>22</v>
      </c>
      <c r="G60" t="s">
        <v>18</v>
      </c>
      <c r="H60">
        <v>418079</v>
      </c>
      <c r="I60">
        <v>7</v>
      </c>
    </row>
    <row r="61" spans="1:9" x14ac:dyDescent="0.25">
      <c r="A61" t="s">
        <v>83</v>
      </c>
      <c r="B61" t="s">
        <v>29</v>
      </c>
      <c r="C61" s="1">
        <v>45904</v>
      </c>
      <c r="D61" s="1">
        <v>45906</v>
      </c>
      <c r="E61" t="s">
        <v>26</v>
      </c>
      <c r="F61" t="s">
        <v>37</v>
      </c>
      <c r="G61" t="s">
        <v>30</v>
      </c>
      <c r="H61">
        <v>4105452</v>
      </c>
      <c r="I61">
        <v>1</v>
      </c>
    </row>
    <row r="62" spans="1:9" x14ac:dyDescent="0.25">
      <c r="A62" t="s">
        <v>84</v>
      </c>
      <c r="B62" t="s">
        <v>15</v>
      </c>
      <c r="C62" s="1">
        <v>45894</v>
      </c>
      <c r="D62" s="1">
        <v>45896</v>
      </c>
      <c r="E62" t="s">
        <v>21</v>
      </c>
      <c r="F62" t="s">
        <v>22</v>
      </c>
      <c r="G62" t="s">
        <v>32</v>
      </c>
      <c r="H62">
        <v>4813591</v>
      </c>
      <c r="I62">
        <v>2</v>
      </c>
    </row>
    <row r="63" spans="1:9" x14ac:dyDescent="0.25">
      <c r="A63" t="s">
        <v>85</v>
      </c>
      <c r="B63" t="s">
        <v>29</v>
      </c>
      <c r="C63" s="1">
        <v>45945</v>
      </c>
      <c r="D63" s="1">
        <v>45947</v>
      </c>
      <c r="E63" t="s">
        <v>11</v>
      </c>
      <c r="F63" t="s">
        <v>12</v>
      </c>
      <c r="G63" t="s">
        <v>16</v>
      </c>
      <c r="H63">
        <v>2450717</v>
      </c>
      <c r="I63">
        <v>0</v>
      </c>
    </row>
    <row r="64" spans="1:9" x14ac:dyDescent="0.25">
      <c r="A64" t="s">
        <v>86</v>
      </c>
      <c r="B64" t="s">
        <v>15</v>
      </c>
      <c r="C64" s="1">
        <v>45951</v>
      </c>
      <c r="D64" s="1">
        <v>45953</v>
      </c>
      <c r="E64" t="s">
        <v>21</v>
      </c>
      <c r="F64" t="s">
        <v>37</v>
      </c>
      <c r="G64" t="s">
        <v>32</v>
      </c>
      <c r="H64">
        <v>4743402</v>
      </c>
      <c r="I64">
        <v>5</v>
      </c>
    </row>
    <row r="65" spans="1:9" x14ac:dyDescent="0.25">
      <c r="A65" t="s">
        <v>87</v>
      </c>
      <c r="B65" t="s">
        <v>10</v>
      </c>
      <c r="C65" s="1">
        <v>45889</v>
      </c>
      <c r="D65" s="1">
        <v>45891</v>
      </c>
      <c r="E65" t="s">
        <v>21</v>
      </c>
      <c r="F65" t="s">
        <v>40</v>
      </c>
      <c r="G65" t="s">
        <v>30</v>
      </c>
      <c r="H65">
        <v>1329913</v>
      </c>
      <c r="I65">
        <v>3</v>
      </c>
    </row>
    <row r="66" spans="1:9" x14ac:dyDescent="0.25">
      <c r="A66" t="s">
        <v>88</v>
      </c>
      <c r="B66" t="s">
        <v>10</v>
      </c>
      <c r="C66" s="1">
        <v>45912</v>
      </c>
      <c r="D66" s="1">
        <v>45914</v>
      </c>
      <c r="E66" t="s">
        <v>26</v>
      </c>
      <c r="F66" t="s">
        <v>37</v>
      </c>
      <c r="G66" t="s">
        <v>16</v>
      </c>
      <c r="H66">
        <v>625290</v>
      </c>
      <c r="I66">
        <v>7</v>
      </c>
    </row>
    <row r="67" spans="1:9" x14ac:dyDescent="0.25">
      <c r="A67" t="s">
        <v>89</v>
      </c>
      <c r="B67" t="s">
        <v>15</v>
      </c>
      <c r="C67" s="1">
        <v>45887</v>
      </c>
      <c r="D67" s="1">
        <v>45889</v>
      </c>
      <c r="E67" t="s">
        <v>21</v>
      </c>
      <c r="F67" t="s">
        <v>37</v>
      </c>
      <c r="G67" t="s">
        <v>32</v>
      </c>
      <c r="H67">
        <v>4524617</v>
      </c>
      <c r="I67">
        <v>3</v>
      </c>
    </row>
    <row r="68" spans="1:9" x14ac:dyDescent="0.25">
      <c r="A68" t="s">
        <v>90</v>
      </c>
      <c r="B68" t="s">
        <v>29</v>
      </c>
      <c r="C68" s="1">
        <v>45910</v>
      </c>
      <c r="D68" s="1">
        <v>45912</v>
      </c>
      <c r="E68" t="s">
        <v>21</v>
      </c>
      <c r="F68" t="s">
        <v>40</v>
      </c>
      <c r="G68" t="s">
        <v>32</v>
      </c>
      <c r="H68">
        <v>4909935</v>
      </c>
      <c r="I68">
        <v>4</v>
      </c>
    </row>
    <row r="69" spans="1:9" x14ac:dyDescent="0.25">
      <c r="A69" t="s">
        <v>91</v>
      </c>
      <c r="B69" t="s">
        <v>10</v>
      </c>
      <c r="C69" s="1">
        <v>45931</v>
      </c>
      <c r="D69" s="1">
        <v>45933</v>
      </c>
      <c r="E69" t="s">
        <v>26</v>
      </c>
      <c r="F69" t="s">
        <v>37</v>
      </c>
      <c r="G69" t="s">
        <v>13</v>
      </c>
      <c r="H69">
        <v>3883029</v>
      </c>
      <c r="I69">
        <v>7</v>
      </c>
    </row>
    <row r="70" spans="1:9" x14ac:dyDescent="0.25">
      <c r="A70" t="s">
        <v>92</v>
      </c>
      <c r="B70" t="s">
        <v>29</v>
      </c>
      <c r="C70" s="1">
        <v>45911</v>
      </c>
      <c r="D70" s="1">
        <v>45913</v>
      </c>
      <c r="E70" t="s">
        <v>11</v>
      </c>
      <c r="F70" t="s">
        <v>12</v>
      </c>
      <c r="G70" t="s">
        <v>18</v>
      </c>
      <c r="H70">
        <v>662865</v>
      </c>
      <c r="I70">
        <v>0</v>
      </c>
    </row>
    <row r="71" spans="1:9" x14ac:dyDescent="0.25">
      <c r="A71" t="s">
        <v>93</v>
      </c>
      <c r="B71" t="s">
        <v>29</v>
      </c>
      <c r="C71" s="1">
        <v>45905</v>
      </c>
      <c r="D71" s="1">
        <v>45907</v>
      </c>
      <c r="E71" t="s">
        <v>21</v>
      </c>
      <c r="F71" t="s">
        <v>40</v>
      </c>
      <c r="G71" t="s">
        <v>13</v>
      </c>
      <c r="H71">
        <v>2447041</v>
      </c>
      <c r="I71">
        <v>3</v>
      </c>
    </row>
    <row r="72" spans="1:9" x14ac:dyDescent="0.25">
      <c r="A72" t="s">
        <v>94</v>
      </c>
      <c r="B72" t="s">
        <v>29</v>
      </c>
      <c r="C72" s="1">
        <v>45871</v>
      </c>
      <c r="D72" s="1">
        <v>45873</v>
      </c>
      <c r="E72" t="s">
        <v>11</v>
      </c>
      <c r="F72" t="s">
        <v>12</v>
      </c>
      <c r="G72" t="s">
        <v>13</v>
      </c>
      <c r="H72">
        <v>1807388</v>
      </c>
      <c r="I72">
        <v>0</v>
      </c>
    </row>
    <row r="73" spans="1:9" x14ac:dyDescent="0.25">
      <c r="A73" t="s">
        <v>95</v>
      </c>
      <c r="B73" t="s">
        <v>15</v>
      </c>
      <c r="C73" s="1">
        <v>45889</v>
      </c>
      <c r="D73" s="1">
        <v>45891</v>
      </c>
      <c r="E73" t="s">
        <v>26</v>
      </c>
      <c r="F73" t="s">
        <v>37</v>
      </c>
      <c r="G73" t="s">
        <v>32</v>
      </c>
      <c r="H73">
        <v>618572</v>
      </c>
      <c r="I73">
        <v>2</v>
      </c>
    </row>
    <row r="74" spans="1:9" x14ac:dyDescent="0.25">
      <c r="A74" t="s">
        <v>96</v>
      </c>
      <c r="B74" t="s">
        <v>29</v>
      </c>
      <c r="C74" s="1">
        <v>45912</v>
      </c>
      <c r="D74" s="1">
        <v>45914</v>
      </c>
      <c r="E74" t="s">
        <v>21</v>
      </c>
      <c r="F74" t="s">
        <v>40</v>
      </c>
      <c r="G74" t="s">
        <v>32</v>
      </c>
      <c r="H74">
        <v>4838322</v>
      </c>
      <c r="I74">
        <v>3</v>
      </c>
    </row>
    <row r="75" spans="1:9" x14ac:dyDescent="0.25">
      <c r="A75" t="s">
        <v>97</v>
      </c>
      <c r="B75" t="s">
        <v>10</v>
      </c>
      <c r="C75" s="1">
        <v>45939</v>
      </c>
      <c r="D75" s="1">
        <v>45941</v>
      </c>
      <c r="E75" t="s">
        <v>11</v>
      </c>
      <c r="F75" t="s">
        <v>12</v>
      </c>
      <c r="G75" t="s">
        <v>18</v>
      </c>
      <c r="H75">
        <v>3851370</v>
      </c>
      <c r="I75">
        <v>0</v>
      </c>
    </row>
    <row r="76" spans="1:9" x14ac:dyDescent="0.25">
      <c r="A76" t="s">
        <v>98</v>
      </c>
      <c r="B76" t="s">
        <v>29</v>
      </c>
      <c r="C76" s="1">
        <v>45927</v>
      </c>
      <c r="D76" s="1">
        <v>45929</v>
      </c>
      <c r="E76" t="s">
        <v>21</v>
      </c>
      <c r="F76" t="s">
        <v>22</v>
      </c>
      <c r="G76" t="s">
        <v>30</v>
      </c>
      <c r="H76">
        <v>2560370</v>
      </c>
      <c r="I76">
        <v>2</v>
      </c>
    </row>
    <row r="77" spans="1:9" x14ac:dyDescent="0.25">
      <c r="A77" t="s">
        <v>99</v>
      </c>
      <c r="B77" t="s">
        <v>15</v>
      </c>
      <c r="C77" s="1">
        <v>45936</v>
      </c>
      <c r="D77" s="1">
        <v>45938</v>
      </c>
      <c r="E77" t="s">
        <v>26</v>
      </c>
      <c r="F77" t="s">
        <v>37</v>
      </c>
      <c r="G77" t="s">
        <v>30</v>
      </c>
      <c r="H77">
        <v>4128095</v>
      </c>
      <c r="I77">
        <v>3</v>
      </c>
    </row>
    <row r="78" spans="1:9" x14ac:dyDescent="0.25">
      <c r="A78" t="s">
        <v>100</v>
      </c>
      <c r="B78" t="s">
        <v>29</v>
      </c>
      <c r="C78" s="1">
        <v>45905</v>
      </c>
      <c r="D78" s="1">
        <v>45907</v>
      </c>
      <c r="E78" t="s">
        <v>11</v>
      </c>
      <c r="F78" t="s">
        <v>12</v>
      </c>
      <c r="G78" t="s">
        <v>30</v>
      </c>
      <c r="H78">
        <v>4654888</v>
      </c>
      <c r="I78">
        <v>0</v>
      </c>
    </row>
    <row r="79" spans="1:9" x14ac:dyDescent="0.25">
      <c r="A79" t="s">
        <v>101</v>
      </c>
      <c r="B79" t="s">
        <v>10</v>
      </c>
      <c r="C79" s="1">
        <v>45916</v>
      </c>
      <c r="D79" s="1">
        <v>45918</v>
      </c>
      <c r="E79" t="s">
        <v>11</v>
      </c>
      <c r="F79" t="s">
        <v>12</v>
      </c>
      <c r="G79" t="s">
        <v>30</v>
      </c>
      <c r="H79">
        <v>2033196</v>
      </c>
      <c r="I79">
        <v>0</v>
      </c>
    </row>
    <row r="80" spans="1:9" x14ac:dyDescent="0.25">
      <c r="A80" t="s">
        <v>102</v>
      </c>
      <c r="B80" t="s">
        <v>15</v>
      </c>
      <c r="C80" s="1">
        <v>45905</v>
      </c>
      <c r="D80" s="1">
        <v>45907</v>
      </c>
      <c r="E80" t="s">
        <v>26</v>
      </c>
      <c r="F80" t="s">
        <v>22</v>
      </c>
      <c r="G80" t="s">
        <v>30</v>
      </c>
      <c r="H80">
        <v>1669470</v>
      </c>
      <c r="I80">
        <v>3</v>
      </c>
    </row>
    <row r="81" spans="1:9" x14ac:dyDescent="0.25">
      <c r="A81" t="s">
        <v>103</v>
      </c>
      <c r="B81" t="s">
        <v>10</v>
      </c>
      <c r="C81" s="1">
        <v>45934</v>
      </c>
      <c r="D81" s="1">
        <v>45936</v>
      </c>
      <c r="E81" t="s">
        <v>21</v>
      </c>
      <c r="F81" t="s">
        <v>37</v>
      </c>
      <c r="G81" t="s">
        <v>16</v>
      </c>
      <c r="H81">
        <v>850923</v>
      </c>
      <c r="I81">
        <v>4</v>
      </c>
    </row>
    <row r="82" spans="1:9" x14ac:dyDescent="0.25">
      <c r="A82" t="s">
        <v>104</v>
      </c>
      <c r="B82" t="s">
        <v>29</v>
      </c>
      <c r="C82" s="1">
        <v>45898</v>
      </c>
      <c r="D82" s="1">
        <v>45900</v>
      </c>
      <c r="E82" t="s">
        <v>26</v>
      </c>
      <c r="F82" t="s">
        <v>37</v>
      </c>
      <c r="G82" t="s">
        <v>13</v>
      </c>
      <c r="H82">
        <v>3907191</v>
      </c>
      <c r="I82">
        <v>6</v>
      </c>
    </row>
    <row r="83" spans="1:9" x14ac:dyDescent="0.25">
      <c r="A83" t="s">
        <v>105</v>
      </c>
      <c r="B83" t="s">
        <v>10</v>
      </c>
      <c r="C83" s="1">
        <v>45910</v>
      </c>
      <c r="D83" s="1">
        <v>45912</v>
      </c>
      <c r="E83" t="s">
        <v>11</v>
      </c>
      <c r="F83" t="s">
        <v>12</v>
      </c>
      <c r="G83" t="s">
        <v>32</v>
      </c>
      <c r="H83">
        <v>1062762</v>
      </c>
      <c r="I83">
        <v>0</v>
      </c>
    </row>
    <row r="84" spans="1:9" x14ac:dyDescent="0.25">
      <c r="A84" t="s">
        <v>106</v>
      </c>
      <c r="B84" t="s">
        <v>29</v>
      </c>
      <c r="C84" s="1">
        <v>45930</v>
      </c>
      <c r="D84" s="1">
        <v>45932</v>
      </c>
      <c r="E84" t="s">
        <v>21</v>
      </c>
      <c r="F84" t="s">
        <v>22</v>
      </c>
      <c r="G84" t="s">
        <v>16</v>
      </c>
      <c r="H84">
        <v>3545322</v>
      </c>
      <c r="I84">
        <v>7</v>
      </c>
    </row>
    <row r="85" spans="1:9" x14ac:dyDescent="0.25">
      <c r="A85" t="s">
        <v>107</v>
      </c>
      <c r="B85" t="s">
        <v>15</v>
      </c>
      <c r="C85" s="1">
        <v>45893</v>
      </c>
      <c r="D85" s="1">
        <v>45895</v>
      </c>
      <c r="E85" t="s">
        <v>21</v>
      </c>
      <c r="F85" t="s">
        <v>40</v>
      </c>
      <c r="G85" t="s">
        <v>16</v>
      </c>
      <c r="H85">
        <v>2003406</v>
      </c>
      <c r="I85">
        <v>5</v>
      </c>
    </row>
    <row r="86" spans="1:9" x14ac:dyDescent="0.25">
      <c r="A86" t="s">
        <v>108</v>
      </c>
      <c r="B86" t="s">
        <v>10</v>
      </c>
      <c r="C86" s="1">
        <v>45928</v>
      </c>
      <c r="D86" s="1">
        <v>45930</v>
      </c>
      <c r="E86" t="s">
        <v>26</v>
      </c>
      <c r="F86" t="s">
        <v>37</v>
      </c>
      <c r="G86" t="s">
        <v>32</v>
      </c>
      <c r="H86">
        <v>3045424</v>
      </c>
      <c r="I86">
        <v>3</v>
      </c>
    </row>
    <row r="87" spans="1:9" x14ac:dyDescent="0.25">
      <c r="A87" t="s">
        <v>109</v>
      </c>
      <c r="B87" t="s">
        <v>10</v>
      </c>
      <c r="C87" s="1">
        <v>45930</v>
      </c>
      <c r="D87" s="1">
        <v>45932</v>
      </c>
      <c r="E87" t="s">
        <v>26</v>
      </c>
      <c r="F87" t="s">
        <v>37</v>
      </c>
      <c r="G87" t="s">
        <v>18</v>
      </c>
      <c r="H87">
        <v>4017813</v>
      </c>
      <c r="I87">
        <v>5</v>
      </c>
    </row>
    <row r="88" spans="1:9" x14ac:dyDescent="0.25">
      <c r="A88" t="s">
        <v>110</v>
      </c>
      <c r="B88" t="s">
        <v>15</v>
      </c>
      <c r="C88" s="1">
        <v>45931</v>
      </c>
      <c r="D88" s="1">
        <v>45933</v>
      </c>
      <c r="E88" t="s">
        <v>21</v>
      </c>
      <c r="F88" t="s">
        <v>37</v>
      </c>
      <c r="G88" t="s">
        <v>32</v>
      </c>
      <c r="H88">
        <v>3883238</v>
      </c>
      <c r="I88">
        <v>5</v>
      </c>
    </row>
    <row r="89" spans="1:9" x14ac:dyDescent="0.25">
      <c r="A89" t="s">
        <v>111</v>
      </c>
      <c r="B89" t="s">
        <v>15</v>
      </c>
      <c r="C89" s="1">
        <v>45940</v>
      </c>
      <c r="D89" s="1">
        <v>45942</v>
      </c>
      <c r="E89" t="s">
        <v>11</v>
      </c>
      <c r="F89" t="s">
        <v>12</v>
      </c>
      <c r="G89" t="s">
        <v>13</v>
      </c>
      <c r="H89">
        <v>461209</v>
      </c>
      <c r="I89">
        <v>0</v>
      </c>
    </row>
    <row r="90" spans="1:9" x14ac:dyDescent="0.25">
      <c r="A90" t="s">
        <v>112</v>
      </c>
      <c r="B90" t="s">
        <v>29</v>
      </c>
      <c r="C90" s="1">
        <v>45885</v>
      </c>
      <c r="D90" s="1">
        <v>45887</v>
      </c>
      <c r="E90" t="s">
        <v>11</v>
      </c>
      <c r="F90" t="s">
        <v>12</v>
      </c>
      <c r="G90" t="s">
        <v>16</v>
      </c>
      <c r="H90">
        <v>722863</v>
      </c>
      <c r="I90">
        <v>0</v>
      </c>
    </row>
    <row r="91" spans="1:9" x14ac:dyDescent="0.25">
      <c r="A91" t="s">
        <v>113</v>
      </c>
      <c r="B91" t="s">
        <v>10</v>
      </c>
      <c r="C91" s="1">
        <v>45923</v>
      </c>
      <c r="D91" s="1">
        <v>45925</v>
      </c>
      <c r="E91" t="s">
        <v>21</v>
      </c>
      <c r="F91" t="s">
        <v>37</v>
      </c>
      <c r="G91" t="s">
        <v>13</v>
      </c>
      <c r="H91">
        <v>4217690</v>
      </c>
      <c r="I91">
        <v>3</v>
      </c>
    </row>
    <row r="92" spans="1:9" x14ac:dyDescent="0.25">
      <c r="A92" t="s">
        <v>114</v>
      </c>
      <c r="B92" t="s">
        <v>15</v>
      </c>
      <c r="C92" s="1">
        <v>45944</v>
      </c>
      <c r="D92" s="1">
        <v>45946</v>
      </c>
      <c r="E92" t="s">
        <v>21</v>
      </c>
      <c r="F92" t="s">
        <v>22</v>
      </c>
      <c r="G92" t="s">
        <v>18</v>
      </c>
      <c r="H92">
        <v>2136118</v>
      </c>
      <c r="I92">
        <v>5</v>
      </c>
    </row>
    <row r="93" spans="1:9" x14ac:dyDescent="0.25">
      <c r="A93" t="s">
        <v>115</v>
      </c>
      <c r="B93" t="s">
        <v>29</v>
      </c>
      <c r="C93" s="1">
        <v>45915</v>
      </c>
      <c r="D93" s="1">
        <v>45917</v>
      </c>
      <c r="E93" t="s">
        <v>26</v>
      </c>
      <c r="F93" t="s">
        <v>40</v>
      </c>
      <c r="G93" t="s">
        <v>18</v>
      </c>
      <c r="H93">
        <v>3276473</v>
      </c>
      <c r="I93">
        <v>2</v>
      </c>
    </row>
    <row r="94" spans="1:9" x14ac:dyDescent="0.25">
      <c r="A94" t="s">
        <v>116</v>
      </c>
      <c r="B94" t="s">
        <v>10</v>
      </c>
      <c r="C94" s="1">
        <v>45942</v>
      </c>
      <c r="D94" s="1">
        <v>45944</v>
      </c>
      <c r="E94" t="s">
        <v>26</v>
      </c>
      <c r="F94" t="s">
        <v>40</v>
      </c>
      <c r="G94" t="s">
        <v>13</v>
      </c>
      <c r="H94">
        <v>1650941</v>
      </c>
      <c r="I94">
        <v>3</v>
      </c>
    </row>
    <row r="95" spans="1:9" x14ac:dyDescent="0.25">
      <c r="A95" t="s">
        <v>117</v>
      </c>
      <c r="B95" t="s">
        <v>10</v>
      </c>
      <c r="C95" s="1">
        <v>45885</v>
      </c>
      <c r="D95" s="1">
        <v>45887</v>
      </c>
      <c r="E95" t="s">
        <v>26</v>
      </c>
      <c r="F95" t="s">
        <v>37</v>
      </c>
      <c r="G95" t="s">
        <v>18</v>
      </c>
      <c r="H95">
        <v>2992147</v>
      </c>
      <c r="I95">
        <v>7</v>
      </c>
    </row>
    <row r="96" spans="1:9" x14ac:dyDescent="0.25">
      <c r="A96" t="s">
        <v>118</v>
      </c>
      <c r="B96" t="s">
        <v>15</v>
      </c>
      <c r="C96" s="1">
        <v>45959</v>
      </c>
      <c r="D96" s="1">
        <v>45961</v>
      </c>
      <c r="E96" t="s">
        <v>11</v>
      </c>
      <c r="F96" t="s">
        <v>12</v>
      </c>
      <c r="G96" t="s">
        <v>16</v>
      </c>
      <c r="H96">
        <v>1141596</v>
      </c>
      <c r="I96">
        <v>0</v>
      </c>
    </row>
    <row r="97" spans="1:9" x14ac:dyDescent="0.25">
      <c r="A97" t="s">
        <v>119</v>
      </c>
      <c r="B97" t="s">
        <v>15</v>
      </c>
      <c r="C97" s="1">
        <v>45911</v>
      </c>
      <c r="D97" s="1">
        <v>45913</v>
      </c>
      <c r="E97" t="s">
        <v>26</v>
      </c>
      <c r="F97" t="s">
        <v>37</v>
      </c>
      <c r="G97" t="s">
        <v>30</v>
      </c>
      <c r="H97">
        <v>1539482</v>
      </c>
      <c r="I97">
        <v>7</v>
      </c>
    </row>
    <row r="98" spans="1:9" x14ac:dyDescent="0.25">
      <c r="A98" t="s">
        <v>120</v>
      </c>
      <c r="B98" t="s">
        <v>10</v>
      </c>
      <c r="C98" s="1">
        <v>45895</v>
      </c>
      <c r="D98" s="1">
        <v>45897</v>
      </c>
      <c r="E98" t="s">
        <v>26</v>
      </c>
      <c r="F98" t="s">
        <v>37</v>
      </c>
      <c r="G98" t="s">
        <v>16</v>
      </c>
      <c r="H98">
        <v>1858168</v>
      </c>
      <c r="I98">
        <v>6</v>
      </c>
    </row>
    <row r="99" spans="1:9" x14ac:dyDescent="0.25">
      <c r="A99" t="s">
        <v>121</v>
      </c>
      <c r="B99" t="s">
        <v>15</v>
      </c>
      <c r="C99" s="1">
        <v>45957</v>
      </c>
      <c r="D99" s="1">
        <v>45959</v>
      </c>
      <c r="E99" t="s">
        <v>26</v>
      </c>
      <c r="F99" t="s">
        <v>22</v>
      </c>
      <c r="G99" t="s">
        <v>32</v>
      </c>
      <c r="H99">
        <v>2821501</v>
      </c>
      <c r="I99">
        <v>6</v>
      </c>
    </row>
    <row r="100" spans="1:9" x14ac:dyDescent="0.25">
      <c r="A100" t="s">
        <v>122</v>
      </c>
      <c r="B100" t="s">
        <v>10</v>
      </c>
      <c r="C100" s="1">
        <v>45920</v>
      </c>
      <c r="D100" s="1">
        <v>45922</v>
      </c>
      <c r="E100" t="s">
        <v>26</v>
      </c>
      <c r="F100" t="s">
        <v>40</v>
      </c>
      <c r="G100" t="s">
        <v>13</v>
      </c>
      <c r="H100">
        <v>4520149</v>
      </c>
      <c r="I100">
        <v>2</v>
      </c>
    </row>
    <row r="101" spans="1:9" x14ac:dyDescent="0.25">
      <c r="A101" t="s">
        <v>123</v>
      </c>
      <c r="B101" t="s">
        <v>29</v>
      </c>
      <c r="C101" s="1">
        <v>45901</v>
      </c>
      <c r="D101" s="1">
        <v>45903</v>
      </c>
      <c r="E101" t="s">
        <v>21</v>
      </c>
      <c r="F101" t="s">
        <v>37</v>
      </c>
      <c r="G101" t="s">
        <v>13</v>
      </c>
      <c r="H101">
        <v>4745213</v>
      </c>
      <c r="I101">
        <v>6</v>
      </c>
    </row>
    <row r="102" spans="1:9" x14ac:dyDescent="0.25">
      <c r="A102" t="s">
        <v>124</v>
      </c>
      <c r="B102" t="s">
        <v>10</v>
      </c>
      <c r="C102" s="1">
        <v>45912</v>
      </c>
      <c r="D102" s="1">
        <v>45914</v>
      </c>
      <c r="E102" t="s">
        <v>11</v>
      </c>
      <c r="F102" t="s">
        <v>12</v>
      </c>
      <c r="G102" t="s">
        <v>13</v>
      </c>
      <c r="H102">
        <v>1400673</v>
      </c>
      <c r="I102">
        <v>0</v>
      </c>
    </row>
    <row r="103" spans="1:9" x14ac:dyDescent="0.25">
      <c r="A103" t="s">
        <v>125</v>
      </c>
      <c r="B103" t="s">
        <v>29</v>
      </c>
      <c r="C103" s="1">
        <v>45955</v>
      </c>
      <c r="D103" s="1">
        <v>45957</v>
      </c>
      <c r="E103" t="s">
        <v>11</v>
      </c>
      <c r="F103" t="s">
        <v>12</v>
      </c>
      <c r="G103" t="s">
        <v>18</v>
      </c>
      <c r="H103">
        <v>1250520</v>
      </c>
      <c r="I103">
        <v>0</v>
      </c>
    </row>
    <row r="104" spans="1:9" x14ac:dyDescent="0.25">
      <c r="A104" t="s">
        <v>126</v>
      </c>
      <c r="B104" t="s">
        <v>10</v>
      </c>
      <c r="C104" s="1">
        <v>45898</v>
      </c>
      <c r="D104" s="1">
        <v>45900</v>
      </c>
      <c r="E104" t="s">
        <v>11</v>
      </c>
      <c r="F104" t="s">
        <v>12</v>
      </c>
      <c r="G104" t="s">
        <v>30</v>
      </c>
      <c r="H104">
        <v>317883</v>
      </c>
      <c r="I104">
        <v>0</v>
      </c>
    </row>
    <row r="105" spans="1:9" x14ac:dyDescent="0.25">
      <c r="A105" t="s">
        <v>127</v>
      </c>
      <c r="B105" t="s">
        <v>29</v>
      </c>
      <c r="C105" s="1">
        <v>45917</v>
      </c>
      <c r="D105" s="1">
        <v>45919</v>
      </c>
      <c r="E105" t="s">
        <v>26</v>
      </c>
      <c r="F105" t="s">
        <v>37</v>
      </c>
      <c r="G105" t="s">
        <v>13</v>
      </c>
      <c r="H105">
        <v>4008689</v>
      </c>
      <c r="I105">
        <v>4</v>
      </c>
    </row>
    <row r="106" spans="1:9" x14ac:dyDescent="0.25">
      <c r="A106" t="s">
        <v>128</v>
      </c>
      <c r="B106" t="s">
        <v>29</v>
      </c>
      <c r="C106" s="1">
        <v>45887</v>
      </c>
      <c r="D106" s="1">
        <v>45889</v>
      </c>
      <c r="E106" t="s">
        <v>11</v>
      </c>
      <c r="F106" t="s">
        <v>12</v>
      </c>
      <c r="G106" t="s">
        <v>16</v>
      </c>
      <c r="H106">
        <v>647779</v>
      </c>
      <c r="I106">
        <v>0</v>
      </c>
    </row>
    <row r="107" spans="1:9" x14ac:dyDescent="0.25">
      <c r="A107" t="s">
        <v>129</v>
      </c>
      <c r="B107" t="s">
        <v>15</v>
      </c>
      <c r="C107" s="1">
        <v>45902</v>
      </c>
      <c r="D107" s="1">
        <v>45904</v>
      </c>
      <c r="E107" t="s">
        <v>26</v>
      </c>
      <c r="F107" t="s">
        <v>22</v>
      </c>
      <c r="G107" t="s">
        <v>32</v>
      </c>
      <c r="H107">
        <v>4610351</v>
      </c>
      <c r="I107">
        <v>1</v>
      </c>
    </row>
    <row r="108" spans="1:9" x14ac:dyDescent="0.25">
      <c r="A108" t="s">
        <v>130</v>
      </c>
      <c r="B108" t="s">
        <v>29</v>
      </c>
      <c r="C108" s="1">
        <v>45893</v>
      </c>
      <c r="D108" s="1">
        <v>45895</v>
      </c>
      <c r="E108" t="s">
        <v>21</v>
      </c>
      <c r="F108" t="s">
        <v>22</v>
      </c>
      <c r="G108" t="s">
        <v>18</v>
      </c>
      <c r="H108">
        <v>775906</v>
      </c>
      <c r="I108">
        <v>4</v>
      </c>
    </row>
    <row r="109" spans="1:9" x14ac:dyDescent="0.25">
      <c r="A109" t="s">
        <v>131</v>
      </c>
      <c r="B109" t="s">
        <v>15</v>
      </c>
      <c r="C109" s="1">
        <v>45893</v>
      </c>
      <c r="D109" s="1">
        <v>45895</v>
      </c>
      <c r="E109" t="s">
        <v>11</v>
      </c>
      <c r="F109" t="s">
        <v>12</v>
      </c>
      <c r="G109" t="s">
        <v>16</v>
      </c>
      <c r="H109">
        <v>2511466</v>
      </c>
      <c r="I109">
        <v>0</v>
      </c>
    </row>
    <row r="110" spans="1:9" x14ac:dyDescent="0.25">
      <c r="A110" t="s">
        <v>132</v>
      </c>
      <c r="B110" t="s">
        <v>29</v>
      </c>
      <c r="C110" s="1">
        <v>45870</v>
      </c>
      <c r="D110" s="1">
        <v>45872</v>
      </c>
      <c r="E110" t="s">
        <v>11</v>
      </c>
      <c r="F110" t="s">
        <v>12</v>
      </c>
      <c r="G110" t="s">
        <v>13</v>
      </c>
      <c r="H110">
        <v>2377888</v>
      </c>
      <c r="I110">
        <v>0</v>
      </c>
    </row>
    <row r="111" spans="1:9" x14ac:dyDescent="0.25">
      <c r="A111" t="s">
        <v>133</v>
      </c>
      <c r="B111" t="s">
        <v>29</v>
      </c>
      <c r="C111" s="1">
        <v>45950</v>
      </c>
      <c r="D111" s="1">
        <v>45952</v>
      </c>
      <c r="E111" t="s">
        <v>21</v>
      </c>
      <c r="F111" t="s">
        <v>37</v>
      </c>
      <c r="G111" t="s">
        <v>30</v>
      </c>
      <c r="H111">
        <v>3375660</v>
      </c>
      <c r="I111">
        <v>5</v>
      </c>
    </row>
    <row r="112" spans="1:9" x14ac:dyDescent="0.25">
      <c r="A112" t="s">
        <v>134</v>
      </c>
      <c r="B112" t="s">
        <v>10</v>
      </c>
      <c r="C112" s="1">
        <v>45880</v>
      </c>
      <c r="D112" s="1">
        <v>45882</v>
      </c>
      <c r="E112" t="s">
        <v>21</v>
      </c>
      <c r="F112" t="s">
        <v>22</v>
      </c>
      <c r="G112" t="s">
        <v>18</v>
      </c>
      <c r="H112">
        <v>4518212</v>
      </c>
      <c r="I112">
        <v>5</v>
      </c>
    </row>
    <row r="113" spans="1:9" x14ac:dyDescent="0.25">
      <c r="A113" t="s">
        <v>135</v>
      </c>
      <c r="B113" t="s">
        <v>10</v>
      </c>
      <c r="C113" s="1">
        <v>45873</v>
      </c>
      <c r="D113" s="1">
        <v>45875</v>
      </c>
      <c r="E113" t="s">
        <v>26</v>
      </c>
      <c r="F113" t="s">
        <v>37</v>
      </c>
      <c r="G113" t="s">
        <v>30</v>
      </c>
      <c r="H113">
        <v>1068818</v>
      </c>
      <c r="I113">
        <v>1</v>
      </c>
    </row>
    <row r="114" spans="1:9" x14ac:dyDescent="0.25">
      <c r="A114" t="s">
        <v>136</v>
      </c>
      <c r="B114" t="s">
        <v>15</v>
      </c>
      <c r="C114" s="1">
        <v>45910</v>
      </c>
      <c r="D114" s="1">
        <v>45912</v>
      </c>
      <c r="E114" t="s">
        <v>11</v>
      </c>
      <c r="F114" t="s">
        <v>12</v>
      </c>
      <c r="G114" t="s">
        <v>16</v>
      </c>
      <c r="H114">
        <v>3890340</v>
      </c>
      <c r="I114">
        <v>0</v>
      </c>
    </row>
    <row r="115" spans="1:9" x14ac:dyDescent="0.25">
      <c r="A115" t="s">
        <v>137</v>
      </c>
      <c r="B115" t="s">
        <v>10</v>
      </c>
      <c r="C115" s="1">
        <v>45890</v>
      </c>
      <c r="D115" s="1">
        <v>45892</v>
      </c>
      <c r="E115" t="s">
        <v>26</v>
      </c>
      <c r="F115" t="s">
        <v>22</v>
      </c>
      <c r="G115" t="s">
        <v>18</v>
      </c>
      <c r="H115">
        <v>1159399</v>
      </c>
      <c r="I115">
        <v>6</v>
      </c>
    </row>
    <row r="116" spans="1:9" x14ac:dyDescent="0.25">
      <c r="A116" t="s">
        <v>138</v>
      </c>
      <c r="B116" t="s">
        <v>29</v>
      </c>
      <c r="C116" s="1">
        <v>45914</v>
      </c>
      <c r="D116" s="1">
        <v>45916</v>
      </c>
      <c r="E116" t="s">
        <v>21</v>
      </c>
      <c r="F116" t="s">
        <v>37</v>
      </c>
      <c r="G116" t="s">
        <v>18</v>
      </c>
      <c r="H116">
        <v>3152722</v>
      </c>
      <c r="I116">
        <v>1</v>
      </c>
    </row>
    <row r="117" spans="1:9" x14ac:dyDescent="0.25">
      <c r="A117" t="s">
        <v>139</v>
      </c>
      <c r="B117" t="s">
        <v>29</v>
      </c>
      <c r="C117" s="1">
        <v>45929</v>
      </c>
      <c r="D117" s="1">
        <v>45931</v>
      </c>
      <c r="E117" t="s">
        <v>11</v>
      </c>
      <c r="F117" t="s">
        <v>12</v>
      </c>
      <c r="G117" t="s">
        <v>16</v>
      </c>
      <c r="H117">
        <v>2074211</v>
      </c>
      <c r="I117">
        <v>0</v>
      </c>
    </row>
    <row r="118" spans="1:9" x14ac:dyDescent="0.25">
      <c r="A118" t="s">
        <v>140</v>
      </c>
      <c r="B118" t="s">
        <v>29</v>
      </c>
      <c r="C118" s="1">
        <v>45931</v>
      </c>
      <c r="D118" s="1">
        <v>45933</v>
      </c>
      <c r="E118" t="s">
        <v>26</v>
      </c>
      <c r="F118" t="s">
        <v>22</v>
      </c>
      <c r="G118" t="s">
        <v>16</v>
      </c>
      <c r="H118">
        <v>826839</v>
      </c>
      <c r="I118">
        <v>2</v>
      </c>
    </row>
    <row r="119" spans="1:9" x14ac:dyDescent="0.25">
      <c r="A119" t="s">
        <v>141</v>
      </c>
      <c r="B119" t="s">
        <v>10</v>
      </c>
      <c r="C119" s="1">
        <v>45935</v>
      </c>
      <c r="D119" s="1">
        <v>45937</v>
      </c>
      <c r="E119" t="s">
        <v>26</v>
      </c>
      <c r="F119" t="s">
        <v>40</v>
      </c>
      <c r="G119" t="s">
        <v>16</v>
      </c>
      <c r="H119">
        <v>2016344</v>
      </c>
      <c r="I119">
        <v>5</v>
      </c>
    </row>
    <row r="120" spans="1:9" x14ac:dyDescent="0.25">
      <c r="A120" t="s">
        <v>142</v>
      </c>
      <c r="B120" t="s">
        <v>10</v>
      </c>
      <c r="C120" s="1">
        <v>45897</v>
      </c>
      <c r="D120" s="1">
        <v>45899</v>
      </c>
      <c r="E120" t="s">
        <v>21</v>
      </c>
      <c r="F120" t="s">
        <v>37</v>
      </c>
      <c r="G120" t="s">
        <v>13</v>
      </c>
      <c r="H120">
        <v>3940533</v>
      </c>
      <c r="I120">
        <v>1</v>
      </c>
    </row>
    <row r="121" spans="1:9" x14ac:dyDescent="0.25">
      <c r="A121" t="s">
        <v>143</v>
      </c>
      <c r="B121" t="s">
        <v>10</v>
      </c>
      <c r="C121" s="1">
        <v>45940</v>
      </c>
      <c r="D121" s="1">
        <v>45942</v>
      </c>
      <c r="E121" t="s">
        <v>21</v>
      </c>
      <c r="F121" t="s">
        <v>40</v>
      </c>
      <c r="G121" t="s">
        <v>16</v>
      </c>
      <c r="H121">
        <v>1167214</v>
      </c>
      <c r="I121">
        <v>4</v>
      </c>
    </row>
    <row r="122" spans="1:9" x14ac:dyDescent="0.25">
      <c r="A122" t="s">
        <v>144</v>
      </c>
      <c r="B122" t="s">
        <v>10</v>
      </c>
      <c r="C122" s="1">
        <v>45887</v>
      </c>
      <c r="D122" s="1">
        <v>45889</v>
      </c>
      <c r="E122" t="s">
        <v>11</v>
      </c>
      <c r="F122" t="s">
        <v>12</v>
      </c>
      <c r="G122" t="s">
        <v>18</v>
      </c>
      <c r="H122">
        <v>203284</v>
      </c>
      <c r="I122">
        <v>0</v>
      </c>
    </row>
    <row r="123" spans="1:9" x14ac:dyDescent="0.25">
      <c r="A123" t="s">
        <v>145</v>
      </c>
      <c r="B123" t="s">
        <v>29</v>
      </c>
      <c r="C123" s="1">
        <v>45901</v>
      </c>
      <c r="D123" s="1">
        <v>45903</v>
      </c>
      <c r="E123" t="s">
        <v>26</v>
      </c>
      <c r="F123" t="s">
        <v>22</v>
      </c>
      <c r="G123" t="s">
        <v>18</v>
      </c>
      <c r="H123">
        <v>953484</v>
      </c>
      <c r="I123">
        <v>6</v>
      </c>
    </row>
    <row r="124" spans="1:9" x14ac:dyDescent="0.25">
      <c r="A124" t="s">
        <v>146</v>
      </c>
      <c r="B124" t="s">
        <v>15</v>
      </c>
      <c r="C124" s="1">
        <v>45891</v>
      </c>
      <c r="D124" s="1">
        <v>45893</v>
      </c>
      <c r="E124" t="s">
        <v>11</v>
      </c>
      <c r="F124" t="s">
        <v>12</v>
      </c>
      <c r="G124" t="s">
        <v>18</v>
      </c>
      <c r="H124">
        <v>2953345</v>
      </c>
      <c r="I124">
        <v>0</v>
      </c>
    </row>
    <row r="125" spans="1:9" x14ac:dyDescent="0.25">
      <c r="A125" t="s">
        <v>147</v>
      </c>
      <c r="B125" t="s">
        <v>10</v>
      </c>
      <c r="C125" s="1">
        <v>45931</v>
      </c>
      <c r="D125" s="1">
        <v>45933</v>
      </c>
      <c r="E125" t="s">
        <v>26</v>
      </c>
      <c r="F125" t="s">
        <v>22</v>
      </c>
      <c r="G125" t="s">
        <v>18</v>
      </c>
      <c r="H125">
        <v>4521386</v>
      </c>
      <c r="I125">
        <v>5</v>
      </c>
    </row>
    <row r="126" spans="1:9" x14ac:dyDescent="0.25">
      <c r="A126" t="s">
        <v>148</v>
      </c>
      <c r="B126" t="s">
        <v>29</v>
      </c>
      <c r="C126" s="1">
        <v>45873</v>
      </c>
      <c r="D126" s="1">
        <v>45875</v>
      </c>
      <c r="E126" t="s">
        <v>26</v>
      </c>
      <c r="F126" t="s">
        <v>37</v>
      </c>
      <c r="G126" t="s">
        <v>13</v>
      </c>
      <c r="H126">
        <v>3865375</v>
      </c>
      <c r="I126">
        <v>1</v>
      </c>
    </row>
    <row r="127" spans="1:9" x14ac:dyDescent="0.25">
      <c r="A127" t="s">
        <v>149</v>
      </c>
      <c r="B127" t="s">
        <v>10</v>
      </c>
      <c r="C127" s="1">
        <v>45932</v>
      </c>
      <c r="D127" s="1">
        <v>45934</v>
      </c>
      <c r="E127" t="s">
        <v>21</v>
      </c>
      <c r="F127" t="s">
        <v>22</v>
      </c>
      <c r="G127" t="s">
        <v>30</v>
      </c>
      <c r="H127">
        <v>3448345</v>
      </c>
      <c r="I127">
        <v>4</v>
      </c>
    </row>
    <row r="128" spans="1:9" x14ac:dyDescent="0.25">
      <c r="A128" t="s">
        <v>150</v>
      </c>
      <c r="B128" t="s">
        <v>29</v>
      </c>
      <c r="C128" s="1">
        <v>45910</v>
      </c>
      <c r="D128" s="1">
        <v>45912</v>
      </c>
      <c r="E128" t="s">
        <v>21</v>
      </c>
      <c r="F128" t="s">
        <v>22</v>
      </c>
      <c r="G128" t="s">
        <v>18</v>
      </c>
      <c r="H128">
        <v>2109720</v>
      </c>
      <c r="I128">
        <v>5</v>
      </c>
    </row>
    <row r="129" spans="1:9" x14ac:dyDescent="0.25">
      <c r="A129" t="s">
        <v>151</v>
      </c>
      <c r="B129" t="s">
        <v>15</v>
      </c>
      <c r="C129" s="1">
        <v>45922</v>
      </c>
      <c r="D129" s="1">
        <v>45924</v>
      </c>
      <c r="E129" t="s">
        <v>26</v>
      </c>
      <c r="F129" t="s">
        <v>22</v>
      </c>
      <c r="G129" t="s">
        <v>18</v>
      </c>
      <c r="H129">
        <v>2003647</v>
      </c>
      <c r="I129">
        <v>2</v>
      </c>
    </row>
    <row r="130" spans="1:9" x14ac:dyDescent="0.25">
      <c r="A130" t="s">
        <v>152</v>
      </c>
      <c r="B130" t="s">
        <v>10</v>
      </c>
      <c r="C130" s="1">
        <v>45881</v>
      </c>
      <c r="D130" s="1">
        <v>45883</v>
      </c>
      <c r="E130" t="s">
        <v>11</v>
      </c>
      <c r="F130" t="s">
        <v>12</v>
      </c>
      <c r="G130" t="s">
        <v>18</v>
      </c>
      <c r="H130">
        <v>265698</v>
      </c>
      <c r="I130">
        <v>0</v>
      </c>
    </row>
    <row r="131" spans="1:9" x14ac:dyDescent="0.25">
      <c r="A131" t="s">
        <v>153</v>
      </c>
      <c r="B131" t="s">
        <v>15</v>
      </c>
      <c r="C131" s="1">
        <v>45925</v>
      </c>
      <c r="D131" s="1">
        <v>45927</v>
      </c>
      <c r="E131" t="s">
        <v>21</v>
      </c>
      <c r="F131" t="s">
        <v>22</v>
      </c>
      <c r="G131" t="s">
        <v>30</v>
      </c>
      <c r="H131">
        <v>23494</v>
      </c>
      <c r="I131">
        <v>1</v>
      </c>
    </row>
    <row r="132" spans="1:9" x14ac:dyDescent="0.25">
      <c r="A132" t="s">
        <v>154</v>
      </c>
      <c r="B132" t="s">
        <v>10</v>
      </c>
      <c r="C132" s="1">
        <v>45940</v>
      </c>
      <c r="D132" s="1">
        <v>45942</v>
      </c>
      <c r="E132" t="s">
        <v>11</v>
      </c>
      <c r="F132" t="s">
        <v>12</v>
      </c>
      <c r="G132" t="s">
        <v>13</v>
      </c>
      <c r="H132">
        <v>57896</v>
      </c>
      <c r="I132">
        <v>0</v>
      </c>
    </row>
    <row r="133" spans="1:9" x14ac:dyDescent="0.25">
      <c r="A133" t="s">
        <v>155</v>
      </c>
      <c r="B133" t="s">
        <v>10</v>
      </c>
      <c r="C133" s="1">
        <v>45943</v>
      </c>
      <c r="D133" s="1">
        <v>45945</v>
      </c>
      <c r="E133" t="s">
        <v>21</v>
      </c>
      <c r="F133" t="s">
        <v>37</v>
      </c>
      <c r="G133" t="s">
        <v>13</v>
      </c>
      <c r="H133">
        <v>1112331</v>
      </c>
      <c r="I133">
        <v>1</v>
      </c>
    </row>
    <row r="134" spans="1:9" x14ac:dyDescent="0.25">
      <c r="A134" t="s">
        <v>156</v>
      </c>
      <c r="B134" t="s">
        <v>15</v>
      </c>
      <c r="C134" s="1">
        <v>45871</v>
      </c>
      <c r="D134" s="1">
        <v>45873</v>
      </c>
      <c r="E134" t="s">
        <v>11</v>
      </c>
      <c r="F134" t="s">
        <v>12</v>
      </c>
      <c r="G134" t="s">
        <v>16</v>
      </c>
      <c r="H134">
        <v>2918675</v>
      </c>
      <c r="I134">
        <v>0</v>
      </c>
    </row>
    <row r="135" spans="1:9" x14ac:dyDescent="0.25">
      <c r="A135" t="s">
        <v>157</v>
      </c>
      <c r="B135" t="s">
        <v>10</v>
      </c>
      <c r="C135" s="1">
        <v>45940</v>
      </c>
      <c r="D135" s="1">
        <v>45942</v>
      </c>
      <c r="E135" t="s">
        <v>21</v>
      </c>
      <c r="F135" t="s">
        <v>37</v>
      </c>
      <c r="G135" t="s">
        <v>18</v>
      </c>
      <c r="H135">
        <v>3484652</v>
      </c>
      <c r="I135">
        <v>4</v>
      </c>
    </row>
    <row r="136" spans="1:9" x14ac:dyDescent="0.25">
      <c r="A136" t="s">
        <v>158</v>
      </c>
      <c r="B136" t="s">
        <v>29</v>
      </c>
      <c r="C136" s="1">
        <v>45922</v>
      </c>
      <c r="D136" s="1">
        <v>45924</v>
      </c>
      <c r="E136" t="s">
        <v>26</v>
      </c>
      <c r="F136" t="s">
        <v>40</v>
      </c>
      <c r="G136" t="s">
        <v>32</v>
      </c>
      <c r="H136">
        <v>487796</v>
      </c>
      <c r="I136">
        <v>2</v>
      </c>
    </row>
    <row r="137" spans="1:9" x14ac:dyDescent="0.25">
      <c r="A137" t="s">
        <v>159</v>
      </c>
      <c r="B137" t="s">
        <v>10</v>
      </c>
      <c r="C137" s="1">
        <v>45932</v>
      </c>
      <c r="D137" s="1">
        <v>45934</v>
      </c>
      <c r="E137" t="s">
        <v>11</v>
      </c>
      <c r="F137" t="s">
        <v>12</v>
      </c>
      <c r="G137" t="s">
        <v>18</v>
      </c>
      <c r="H137">
        <v>4825578</v>
      </c>
      <c r="I137">
        <v>0</v>
      </c>
    </row>
    <row r="138" spans="1:9" x14ac:dyDescent="0.25">
      <c r="A138" t="s">
        <v>160</v>
      </c>
      <c r="B138" t="s">
        <v>15</v>
      </c>
      <c r="C138" s="1">
        <v>45922</v>
      </c>
      <c r="D138" s="1">
        <v>45924</v>
      </c>
      <c r="E138" t="s">
        <v>11</v>
      </c>
      <c r="F138" t="s">
        <v>12</v>
      </c>
      <c r="G138" t="s">
        <v>30</v>
      </c>
      <c r="H138">
        <v>561170</v>
      </c>
      <c r="I138">
        <v>0</v>
      </c>
    </row>
    <row r="139" spans="1:9" x14ac:dyDescent="0.25">
      <c r="A139" t="s">
        <v>161</v>
      </c>
      <c r="B139" t="s">
        <v>15</v>
      </c>
      <c r="C139" s="1">
        <v>45877</v>
      </c>
      <c r="D139" s="1">
        <v>45879</v>
      </c>
      <c r="E139" t="s">
        <v>26</v>
      </c>
      <c r="F139" t="s">
        <v>40</v>
      </c>
      <c r="G139" t="s">
        <v>13</v>
      </c>
      <c r="H139">
        <v>3449299</v>
      </c>
      <c r="I139">
        <v>1</v>
      </c>
    </row>
    <row r="140" spans="1:9" x14ac:dyDescent="0.25">
      <c r="A140" t="s">
        <v>162</v>
      </c>
      <c r="B140" t="s">
        <v>15</v>
      </c>
      <c r="C140" s="1">
        <v>45897</v>
      </c>
      <c r="D140" s="1">
        <v>45899</v>
      </c>
      <c r="E140" t="s">
        <v>21</v>
      </c>
      <c r="F140" t="s">
        <v>22</v>
      </c>
      <c r="G140" t="s">
        <v>32</v>
      </c>
      <c r="H140">
        <v>2961851</v>
      </c>
      <c r="I140">
        <v>2</v>
      </c>
    </row>
    <row r="141" spans="1:9" x14ac:dyDescent="0.25">
      <c r="A141" t="s">
        <v>163</v>
      </c>
      <c r="B141" t="s">
        <v>10</v>
      </c>
      <c r="C141" s="1">
        <v>45921</v>
      </c>
      <c r="D141" s="1">
        <v>45923</v>
      </c>
      <c r="E141" t="s">
        <v>21</v>
      </c>
      <c r="F141" t="s">
        <v>37</v>
      </c>
      <c r="G141" t="s">
        <v>32</v>
      </c>
      <c r="H141">
        <v>3140840</v>
      </c>
      <c r="I141">
        <v>7</v>
      </c>
    </row>
    <row r="142" spans="1:9" x14ac:dyDescent="0.25">
      <c r="A142" t="s">
        <v>164</v>
      </c>
      <c r="B142" t="s">
        <v>29</v>
      </c>
      <c r="C142" s="1">
        <v>45940</v>
      </c>
      <c r="D142" s="1">
        <v>45942</v>
      </c>
      <c r="E142" t="s">
        <v>21</v>
      </c>
      <c r="F142" t="s">
        <v>22</v>
      </c>
      <c r="G142" t="s">
        <v>18</v>
      </c>
      <c r="H142">
        <v>1529670</v>
      </c>
      <c r="I142">
        <v>5</v>
      </c>
    </row>
    <row r="143" spans="1:9" x14ac:dyDescent="0.25">
      <c r="A143" t="s">
        <v>165</v>
      </c>
      <c r="B143" t="s">
        <v>29</v>
      </c>
      <c r="C143" s="1">
        <v>45898</v>
      </c>
      <c r="D143" s="1">
        <v>45900</v>
      </c>
      <c r="E143" t="s">
        <v>26</v>
      </c>
      <c r="F143" t="s">
        <v>40</v>
      </c>
      <c r="G143" t="s">
        <v>18</v>
      </c>
      <c r="H143">
        <v>1877657</v>
      </c>
      <c r="I143">
        <v>1</v>
      </c>
    </row>
    <row r="144" spans="1:9" x14ac:dyDescent="0.25">
      <c r="A144" t="s">
        <v>166</v>
      </c>
      <c r="B144" t="s">
        <v>29</v>
      </c>
      <c r="C144" s="1">
        <v>45906</v>
      </c>
      <c r="D144" s="1">
        <v>45908</v>
      </c>
      <c r="E144" t="s">
        <v>21</v>
      </c>
      <c r="F144" t="s">
        <v>40</v>
      </c>
      <c r="G144" t="s">
        <v>16</v>
      </c>
      <c r="H144">
        <v>35754</v>
      </c>
      <c r="I144">
        <v>1</v>
      </c>
    </row>
    <row r="145" spans="1:9" x14ac:dyDescent="0.25">
      <c r="A145" t="s">
        <v>167</v>
      </c>
      <c r="B145" t="s">
        <v>10</v>
      </c>
      <c r="C145" s="1">
        <v>45924</v>
      </c>
      <c r="D145" s="1">
        <v>45926</v>
      </c>
      <c r="E145" t="s">
        <v>11</v>
      </c>
      <c r="F145" t="s">
        <v>12</v>
      </c>
      <c r="G145" t="s">
        <v>16</v>
      </c>
      <c r="H145">
        <v>1903319</v>
      </c>
      <c r="I145">
        <v>0</v>
      </c>
    </row>
    <row r="146" spans="1:9" x14ac:dyDescent="0.25">
      <c r="A146" t="s">
        <v>168</v>
      </c>
      <c r="B146" t="s">
        <v>29</v>
      </c>
      <c r="C146" s="1">
        <v>45898</v>
      </c>
      <c r="D146" s="1">
        <v>45900</v>
      </c>
      <c r="E146" t="s">
        <v>11</v>
      </c>
      <c r="F146" t="s">
        <v>12</v>
      </c>
      <c r="G146" t="s">
        <v>32</v>
      </c>
      <c r="H146">
        <v>1885952</v>
      </c>
      <c r="I146">
        <v>0</v>
      </c>
    </row>
    <row r="147" spans="1:9" x14ac:dyDescent="0.25">
      <c r="A147" t="s">
        <v>169</v>
      </c>
      <c r="B147" t="s">
        <v>10</v>
      </c>
      <c r="C147" s="1">
        <v>45928</v>
      </c>
      <c r="D147" s="1">
        <v>45930</v>
      </c>
      <c r="E147" t="s">
        <v>26</v>
      </c>
      <c r="F147" t="s">
        <v>40</v>
      </c>
      <c r="G147" t="s">
        <v>16</v>
      </c>
      <c r="H147">
        <v>1493790</v>
      </c>
      <c r="I147">
        <v>5</v>
      </c>
    </row>
    <row r="148" spans="1:9" x14ac:dyDescent="0.25">
      <c r="A148" t="s">
        <v>170</v>
      </c>
      <c r="B148" t="s">
        <v>15</v>
      </c>
      <c r="C148" s="1">
        <v>45932</v>
      </c>
      <c r="D148" s="1">
        <v>45934</v>
      </c>
      <c r="E148" t="s">
        <v>11</v>
      </c>
      <c r="F148" t="s">
        <v>12</v>
      </c>
      <c r="G148" t="s">
        <v>32</v>
      </c>
      <c r="H148">
        <v>2930632</v>
      </c>
      <c r="I148">
        <v>0</v>
      </c>
    </row>
    <row r="149" spans="1:9" x14ac:dyDescent="0.25">
      <c r="A149" t="s">
        <v>171</v>
      </c>
      <c r="B149" t="s">
        <v>15</v>
      </c>
      <c r="C149" s="1">
        <v>45929</v>
      </c>
      <c r="D149" s="1">
        <v>45931</v>
      </c>
      <c r="E149" t="s">
        <v>26</v>
      </c>
      <c r="F149" t="s">
        <v>40</v>
      </c>
      <c r="G149" t="s">
        <v>32</v>
      </c>
      <c r="H149">
        <v>76012</v>
      </c>
      <c r="I149">
        <v>6</v>
      </c>
    </row>
    <row r="150" spans="1:9" x14ac:dyDescent="0.25">
      <c r="A150" t="s">
        <v>172</v>
      </c>
      <c r="B150" t="s">
        <v>29</v>
      </c>
      <c r="C150" s="1">
        <v>45954</v>
      </c>
      <c r="D150" s="1">
        <v>45956</v>
      </c>
      <c r="E150" t="s">
        <v>26</v>
      </c>
      <c r="F150" t="s">
        <v>37</v>
      </c>
      <c r="G150" t="s">
        <v>32</v>
      </c>
      <c r="H150">
        <v>3972642</v>
      </c>
      <c r="I150">
        <v>1</v>
      </c>
    </row>
    <row r="151" spans="1:9" x14ac:dyDescent="0.25">
      <c r="A151" t="s">
        <v>173</v>
      </c>
      <c r="B151" t="s">
        <v>15</v>
      </c>
      <c r="C151" s="1">
        <v>45959</v>
      </c>
      <c r="D151" s="1">
        <v>45961</v>
      </c>
      <c r="E151" t="s">
        <v>26</v>
      </c>
      <c r="F151" t="s">
        <v>40</v>
      </c>
      <c r="G151" t="s">
        <v>30</v>
      </c>
      <c r="H151">
        <v>1094788</v>
      </c>
      <c r="I151">
        <v>7</v>
      </c>
    </row>
  </sheetData>
  <conditionalFormatting sqref="I2:I151">
    <cfRule type="cellIs" dxfId="0" priority="1" operator="greaterThan">
      <formula>3</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FC4E6-E824-408C-9675-089F4BC98AA6}">
  <dimension ref="A1:B18"/>
  <sheetViews>
    <sheetView workbookViewId="0">
      <selection activeCell="B10" sqref="B10"/>
    </sheetView>
  </sheetViews>
  <sheetFormatPr defaultRowHeight="15" x14ac:dyDescent="0.25"/>
  <cols>
    <col min="1" max="1" width="16.7109375" bestFit="1" customWidth="1"/>
    <col min="2" max="2" width="12" bestFit="1" customWidth="1"/>
  </cols>
  <sheetData>
    <row r="1" spans="1:2" x14ac:dyDescent="0.25">
      <c r="A1" s="2" t="s">
        <v>174</v>
      </c>
      <c r="B1" t="s">
        <v>176</v>
      </c>
    </row>
    <row r="2" spans="1:2" x14ac:dyDescent="0.25">
      <c r="A2" s="3" t="s">
        <v>15</v>
      </c>
      <c r="B2" s="4">
        <v>44</v>
      </c>
    </row>
    <row r="3" spans="1:2" x14ac:dyDescent="0.25">
      <c r="A3" s="3" t="s">
        <v>29</v>
      </c>
      <c r="B3" s="4">
        <v>48</v>
      </c>
    </row>
    <row r="4" spans="1:2" x14ac:dyDescent="0.25">
      <c r="A4" s="3" t="s">
        <v>10</v>
      </c>
      <c r="B4" s="4">
        <v>58</v>
      </c>
    </row>
    <row r="5" spans="1:2" x14ac:dyDescent="0.25">
      <c r="A5" s="3" t="s">
        <v>175</v>
      </c>
      <c r="B5" s="4">
        <v>150</v>
      </c>
    </row>
    <row r="8" spans="1:2" x14ac:dyDescent="0.25">
      <c r="A8" s="2" t="s">
        <v>174</v>
      </c>
      <c r="B8" t="s">
        <v>177</v>
      </c>
    </row>
    <row r="9" spans="1:2" x14ac:dyDescent="0.25">
      <c r="A9" s="3" t="s">
        <v>40</v>
      </c>
      <c r="B9" s="4">
        <v>23</v>
      </c>
    </row>
    <row r="10" spans="1:2" x14ac:dyDescent="0.25">
      <c r="A10" s="3" t="s">
        <v>37</v>
      </c>
      <c r="B10" s="4">
        <v>34</v>
      </c>
    </row>
    <row r="11" spans="1:2" x14ac:dyDescent="0.25">
      <c r="A11" s="3" t="s">
        <v>22</v>
      </c>
      <c r="B11" s="4">
        <v>34</v>
      </c>
    </row>
    <row r="12" spans="1:2" x14ac:dyDescent="0.25">
      <c r="A12" s="3" t="s">
        <v>175</v>
      </c>
      <c r="B12" s="4">
        <v>91</v>
      </c>
    </row>
    <row r="14" spans="1:2" x14ac:dyDescent="0.25">
      <c r="A14" s="5" t="s">
        <v>178</v>
      </c>
      <c r="B14" s="8">
        <f>COUNTA(tblTrades[Trade_ID])</f>
        <v>150</v>
      </c>
    </row>
    <row r="15" spans="1:2" x14ac:dyDescent="0.25">
      <c r="A15" s="6" t="s">
        <v>179</v>
      </c>
      <c r="B15" s="9">
        <f>COUNTIF(tblTrades[Status],"Failed") / COUNTA(tblTrades[Trade_ID])</f>
        <v>0.29333333333333333</v>
      </c>
    </row>
    <row r="16" spans="1:2" x14ac:dyDescent="0.25">
      <c r="A16" s="6" t="s">
        <v>180</v>
      </c>
      <c r="B16" s="10">
        <f>AVERAGE(tblTrades[Resolution_Days])</f>
        <v>2.2799999999999998</v>
      </c>
    </row>
    <row r="17" spans="1:2" x14ac:dyDescent="0.25">
      <c r="A17" s="6" t="s">
        <v>181</v>
      </c>
      <c r="B17" s="10">
        <f>COUNTIFS(tblTrades[Status],"Failed",tblTrades[Resolution_Days],"&gt;3")</f>
        <v>22</v>
      </c>
    </row>
    <row r="18" spans="1:2" x14ac:dyDescent="0.25">
      <c r="A18" s="7" t="s">
        <v>182</v>
      </c>
      <c r="B18" s="11">
        <f>COUNTIFS(tblTrades[Status],"Failed",tblTrades[Resolution_Days],"&gt;3") / COUNTA(tblTrades[Trade_ID])</f>
        <v>0.14666666666666667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318F4-E5F6-4AE2-B091-947F019B2232}">
  <dimension ref="B2:K6"/>
  <sheetViews>
    <sheetView showGridLines="0" tabSelected="1" zoomScaleNormal="100" workbookViewId="0">
      <selection activeCell="T12" sqref="T12"/>
    </sheetView>
  </sheetViews>
  <sheetFormatPr defaultRowHeight="15" x14ac:dyDescent="0.25"/>
  <cols>
    <col min="6" max="7" width="9.7109375" customWidth="1"/>
  </cols>
  <sheetData>
    <row r="2" spans="2:11" x14ac:dyDescent="0.25">
      <c r="B2" t="s">
        <v>183</v>
      </c>
    </row>
    <row r="4" spans="2:11" x14ac:dyDescent="0.25">
      <c r="B4" s="12" t="s">
        <v>178</v>
      </c>
      <c r="C4" s="13"/>
      <c r="D4" s="12" t="s">
        <v>179</v>
      </c>
      <c r="E4" s="13"/>
      <c r="F4" s="12" t="s">
        <v>184</v>
      </c>
      <c r="G4" s="13"/>
      <c r="H4" s="12" t="s">
        <v>181</v>
      </c>
      <c r="I4" s="13"/>
      <c r="J4" s="12" t="s">
        <v>182</v>
      </c>
      <c r="K4" s="13"/>
    </row>
    <row r="5" spans="2:11" x14ac:dyDescent="0.25">
      <c r="B5" s="14">
        <f>Analysis!B14</f>
        <v>150</v>
      </c>
      <c r="C5" s="15"/>
      <c r="D5" s="18">
        <f>Analysis!B15</f>
        <v>0.29333333333333333</v>
      </c>
      <c r="E5" s="19"/>
      <c r="F5" s="14">
        <f>Analysis!B16</f>
        <v>2.2799999999999998</v>
      </c>
      <c r="G5" s="15"/>
      <c r="H5" s="14">
        <f>Analysis!B17</f>
        <v>22</v>
      </c>
      <c r="I5" s="15"/>
      <c r="J5" s="18">
        <f>Analysis!B18</f>
        <v>0.14666666666666667</v>
      </c>
      <c r="K5" s="19"/>
    </row>
    <row r="6" spans="2:11" x14ac:dyDescent="0.25">
      <c r="B6" s="16"/>
      <c r="C6" s="17"/>
      <c r="D6" s="20"/>
      <c r="E6" s="21"/>
      <c r="F6" s="16"/>
      <c r="G6" s="17"/>
      <c r="H6" s="16"/>
      <c r="I6" s="17"/>
      <c r="J6" s="20"/>
      <c r="K6" s="21"/>
    </row>
  </sheetData>
  <mergeCells count="10">
    <mergeCell ref="H4:I4"/>
    <mergeCell ref="H5:I6"/>
    <mergeCell ref="J4:K4"/>
    <mergeCell ref="J5:K6"/>
    <mergeCell ref="B4:C4"/>
    <mergeCell ref="B5:C6"/>
    <mergeCell ref="D4:E4"/>
    <mergeCell ref="D5:E6"/>
    <mergeCell ref="F4:G4"/>
    <mergeCell ref="F5:G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Trade_Data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Jesse Fraga</dc:creator>
  <cp:lastModifiedBy>Jesse Fraga</cp:lastModifiedBy>
  <dcterms:created xsi:type="dcterms:W3CDTF">2026-01-27T23:31:04Z</dcterms:created>
  <dcterms:modified xsi:type="dcterms:W3CDTF">2026-01-28T01:53:49Z</dcterms:modified>
</cp:coreProperties>
</file>